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750d42c64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47ded199bd6b45bf"/>
    <x:sheet xmlns:r="http://schemas.openxmlformats.org/officeDocument/2006/relationships" name="Project" sheetId="2" r:id="Rd44bc777c1c14dbf"/>
    <x:sheet xmlns:r="http://schemas.openxmlformats.org/officeDocument/2006/relationships" name="Materials" sheetId="3" r:id="R133c006d0cea4261"/>
    <x:sheet xmlns:r="http://schemas.openxmlformats.org/officeDocument/2006/relationships" name="Products" sheetId="4" r:id="Ra25e11f706a24afd"/>
    <x:sheet xmlns:r="http://schemas.openxmlformats.org/officeDocument/2006/relationships" name="Utilities" sheetId="5" r:id="R623c28e41d9d4f63"/>
    <x:sheet xmlns:r="http://schemas.openxmlformats.org/officeDocument/2006/relationships" name="Waste" sheetId="6" r:id="Rec9e33a5ff334558"/>
    <x:sheet xmlns:r="http://schemas.openxmlformats.org/officeDocument/2006/relationships" name="Equipment" sheetId="7" r:id="Rc249bcfe3c184eb6"/>
    <x:sheet xmlns:r="http://schemas.openxmlformats.org/officeDocument/2006/relationships" name="Fixed_OPEX" sheetId="8" r:id="Rc60993bc29da49b5"/>
    <x:sheet xmlns:r="http://schemas.openxmlformats.org/officeDocument/2006/relationships" name="Financial" sheetId="9" r:id="R23817b7b4843437e"/>
    <x:sheet xmlns:r="http://schemas.openxmlformats.org/officeDocument/2006/relationships" name="Detailed_Finance" sheetId="10" r:id="Ra7e9972f34ec4a50"/>
    <x:sheet xmlns:r="http://schemas.openxmlformats.org/officeDocument/2006/relationships" name="Economic_Library" sheetId="11" r:id="R241ca6908b914e50"/>
    <x:sheet xmlns:r="http://schemas.openxmlformats.org/officeDocument/2006/relationships" name="Equipment_Cost_Library" sheetId="12" r:id="R60e305e12bb34373"/>
    <x:sheet xmlns:r="http://schemas.openxmlformats.org/officeDocument/2006/relationships" name="Decision_Analysis" sheetId="13" r:id="R57e451c93a484365"/>
    <x:sheet xmlns:r="http://schemas.openxmlformats.org/officeDocument/2006/relationships" name="Environmental" sheetId="14" r:id="R2de92b877b404e16"/>
    <x:sheet xmlns:r="http://schemas.openxmlformats.org/officeDocument/2006/relationships" name="Validation_Targets" sheetId="15" r:id="Rabcdef80fb914bac"/>
    <x:sheet xmlns:r="http://schemas.openxmlformats.org/officeDocument/2006/relationships" name="Source_Library" sheetId="16" r:id="Ra76d890dd3fd4797"/>
    <x:sheet xmlns:r="http://schemas.openxmlformats.org/officeDocument/2006/relationships" name="Dropdown_Lists" sheetId="17" r:id="Raf857c421eca4d03"/>
    <x:sheet xmlns:r="http://schemas.openxmlformats.org/officeDocument/2006/relationships" name="OUTPUTS_GUIDE" sheetId="18" r:id="Raeb06cfa15d14b73"/>
    <x:sheet xmlns:r="http://schemas.openxmlformats.org/officeDocument/2006/relationships" name="Uncertainty_Settings" sheetId="19" r:id="R6e303ba4d56c41ab"/>
    <x:sheet xmlns:r="http://schemas.openxmlformats.org/officeDocument/2006/relationships" name="Uncertainty_Parameters" sheetId="20" r:id="R0bc6f99ee25c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6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8" xfId="0" applyNumberFormat="1" applyFont="1" applyFill="1" applyBorder="1" applyAlignment="1">
      <x:alignment vertical="center" wrapText="1"/>
    </x:xf>
    <x:xf numFmtId="0" fontId="1" fillId="7" borderId="19" xfId="0" applyNumberFormat="1" applyFont="1" applyFill="1" applyBorder="1" applyAlignment="1">
      <x:alignment vertical="center" wrapText="1"/>
    </x:xf>
    <x:xf numFmtId="0" fontId="1" fillId="7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2" fillId="8" borderId="2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0" fontId="2" fillId="8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xfId="0" applyNumberFormat="1" applyFont="1" applyFill="1" applyBorder="0" applyAlignment="1">
      <x:alignment vertical="center" wrapText="1"/>
    </x:xf>
    <x:xf numFmtId="0" fontId="3" fillId="9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afeb1a7a848b1" /><Relationship Type="http://schemas.openxmlformats.org/officeDocument/2006/relationships/theme" Target="/xl/theme/theme1.xml" Id="R13b24008fdbf499a" /><Relationship Type="http://schemas.openxmlformats.org/officeDocument/2006/relationships/sharedStrings" Target="/xl/sharedStrings.xml" Id="Rc2eaf72c23a04ee2" /><Relationship Type="http://schemas.openxmlformats.org/officeDocument/2006/relationships/worksheet" Target="/xl/worksheets/sheet1.xml" Id="R47ded199bd6b45bf" /><Relationship Type="http://schemas.openxmlformats.org/officeDocument/2006/relationships/worksheet" Target="/xl/worksheets/sheet2.xml" Id="Rd44bc777c1c14dbf" /><Relationship Type="http://schemas.openxmlformats.org/officeDocument/2006/relationships/worksheet" Target="/xl/worksheets/sheet3.xml" Id="R133c006d0cea4261" /><Relationship Type="http://schemas.openxmlformats.org/officeDocument/2006/relationships/worksheet" Target="/xl/worksheets/sheet4.xml" Id="Ra25e11f706a24afd" /><Relationship Type="http://schemas.openxmlformats.org/officeDocument/2006/relationships/worksheet" Target="/xl/worksheets/sheet5.xml" Id="R623c28e41d9d4f63" /><Relationship Type="http://schemas.openxmlformats.org/officeDocument/2006/relationships/worksheet" Target="/xl/worksheets/sheet6.xml" Id="Rec9e33a5ff334558" /><Relationship Type="http://schemas.openxmlformats.org/officeDocument/2006/relationships/worksheet" Target="/xl/worksheets/sheet7.xml" Id="Rc249bcfe3c184eb6" /><Relationship Type="http://schemas.openxmlformats.org/officeDocument/2006/relationships/worksheet" Target="/xl/worksheets/sheet8.xml" Id="Rc60993bc29da49b5" /><Relationship Type="http://schemas.openxmlformats.org/officeDocument/2006/relationships/worksheet" Target="/xl/worksheets/sheet9.xml" Id="R23817b7b4843437e" /><Relationship Type="http://schemas.openxmlformats.org/officeDocument/2006/relationships/worksheet" Target="/xl/worksheets/sheet10.xml" Id="Ra7e9972f34ec4a50" /><Relationship Type="http://schemas.openxmlformats.org/officeDocument/2006/relationships/worksheet" Target="/xl/worksheets/sheet11.xml" Id="R241ca6908b914e50" /><Relationship Type="http://schemas.openxmlformats.org/officeDocument/2006/relationships/worksheet" Target="/xl/worksheets/sheet12.xml" Id="R60e305e12bb34373" /><Relationship Type="http://schemas.openxmlformats.org/officeDocument/2006/relationships/worksheet" Target="/xl/worksheets/sheet13.xml" Id="R57e451c93a484365" /><Relationship Type="http://schemas.openxmlformats.org/officeDocument/2006/relationships/worksheet" Target="/xl/worksheets/sheet14.xml" Id="R2de92b877b404e16" /><Relationship Type="http://schemas.openxmlformats.org/officeDocument/2006/relationships/worksheet" Target="/xl/worksheets/sheet15.xml" Id="Rabcdef80fb914bac" /><Relationship Type="http://schemas.openxmlformats.org/officeDocument/2006/relationships/worksheet" Target="/xl/worksheets/sheet16.xml" Id="Ra76d890dd3fd4797" /><Relationship Type="http://schemas.openxmlformats.org/officeDocument/2006/relationships/worksheet" Target="/xl/worksheets/sheet17.xml" Id="Raf857c421eca4d03" /><Relationship Type="http://schemas.openxmlformats.org/officeDocument/2006/relationships/worksheet" Target="/xl/worksheets/sheet18.xml" Id="Raeb06cfa15d14b73" /><Relationship Type="http://schemas.openxmlformats.org/officeDocument/2006/relationships/worksheet" Target="/xl/worksheets/sheet19.xml" Id="R6e303ba4d56c41ab" /><Relationship Type="http://schemas.openxmlformats.org/officeDocument/2006/relationships/worksheet" Target="/xl/worksheets/sheet20.xml" Id="R0bc6f99ee25c44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4" hidden="0" customWidth="1"/>
    <x:col min="3" max="3" width="18" hidden="0" customWidth="1"/>
    <x:col min="4" max="4" width="24" hidden="0" customWidth="1"/>
    <x:col min="5" max="5" width="44" hidden="0" customWidth="1"/>
    <x:col min="6" max="6" width="16" hidden="0" customWidth="1"/>
  </x:cols>
  <x:sheetData>
    <x:row r="1" ht="28" customHeight="1">
      <x:c r="A1" s="20" t="str">
        <x:v>Universal TEA Input Workbook V0.6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25" t="str">
        <x:v>Case</x:v>
      </x:c>
      <x:c r="B3" s="15" t="str">
        <x:v>Validation Case 2 — DOE/NREL current central PEM electrolysis</x:v>
      </x:c>
      <x:c r="C3" s="15" t="str"/>
      <x:c r="D3" s="15" t="str"/>
      <x:c r="E3" s="15" t="str"/>
      <x:c r="F3" s="24" t="str"/>
    </x:row>
    <x:row r="4">
      <x:c r="A4" s="25" t="str">
        <x:v>1</x:v>
      </x:c>
      <x:c r="B4" s="15" t="str">
        <x:v>Edit yellow / blue-font input cells.</x:v>
      </x:c>
      <x:c r="C4" s="15" t="str">
        <x:v>Required</x:v>
      </x:c>
      <x:c r="D4" s="15" t="str">
        <x:v>Inputs</x:v>
      </x:c>
      <x:c r="E4" s="15" t="str">
        <x:v>Keep units consistent.</x:v>
      </x:c>
      <x:c r="F4" s="24" t="str"/>
    </x:row>
    <x:row r="5">
      <x:c r="A5" s="25" t="str">
        <x:v>2</x:v>
      </x:c>
      <x:c r="B5" s="15" t="str">
        <x:v>Run the universal TEA Python engine with this workbook.</x:v>
      </x:c>
      <x:c r="C5" s="15" t="str">
        <x:v>Required</x:v>
      </x:c>
      <x:c r="D5" s="15" t="str">
        <x:v>TEA results + figures + Word report</x:v>
      </x:c>
      <x:c r="E5" s="15" t="str">
        <x:v>Same workbook architecture for all cases.</x:v>
      </x:c>
      <x:c r="F5" s="24" t="str"/>
    </x:row>
    <x:row r="6">
      <x:c r="A6" s="25" t="str">
        <x:v>3</x:v>
      </x:c>
      <x:c r="B6" s="15" t="str">
        <x:v>Use Economic_Library / Equipment_Cost_Library IDs for traceable values.</x:v>
      </x:c>
      <x:c r="C6" s="15" t="str">
        <x:v>Recommended</x:v>
      </x:c>
      <x:c r="D6" s="15" t="str">
        <x:v>Source-linked assumptions</x:v>
      </x:c>
      <x:c r="E6" s="15" t="str">
        <x:v>Validation cases include published-source IDs.</x:v>
      </x:c>
      <x:c r="F6" s="24" t="str"/>
    </x:row>
    <x:row r="7">
      <x:c r="A7" s="25" t="str">
        <x:v>4</x:v>
      </x:c>
      <x:c r="B7" s="15" t="str">
        <x:v>Review Decision_Analysis for sensitivity, scenarios, break-even and scale.</x:v>
      </x:c>
      <x:c r="C7" s="15" t="str">
        <x:v>Required</x:v>
      </x:c>
      <x:c r="D7" s="15" t="str">
        <x:v>Decision support</x:v>
      </x:c>
      <x:c r="E7" s="15" t="str">
        <x:v>Ranges are editable screening assumptions.</x:v>
      </x:c>
      <x:c r="F7" s="24" t="str"/>
    </x:row>
    <x:row r="8">
      <x:c r="A8" s="25" t="str">
        <x:v>5</x:v>
      </x:c>
      <x:c r="B8" s="15" t="str">
        <x:v>Review Detailed_Finance when H2A-compatible financing is needed.</x:v>
      </x:c>
      <x:c r="C8" s="15" t="str">
        <x:v>Optional</x:v>
      </x:c>
      <x:c r="D8" s="15" t="str">
        <x:v>Detailed DCF / MSP</x:v>
      </x:c>
      <x:c r="E8" s="15" t="str">
        <x:v>Simple finance mode remains possible.</x:v>
      </x:c>
      <x:c r="F8" s="24" t="str"/>
    </x:row>
    <x:row r="9">
      <x:c r="A9" s="25" t="str">
        <x:v>6</x:v>
      </x:c>
      <x:c r="B9" s="15" t="str">
        <x:v>Validation_Targets is used only for external benchmark cases.</x:v>
      </x:c>
      <x:c r="C9" s="15" t="str">
        <x:v>Validation only</x:v>
      </x:c>
      <x:c r="D9" s="15" t="str">
        <x:v>Published comparison</x:v>
      </x:c>
      <x:c r="E9" s="15" t="str">
        <x:v>Blank for the generic case.</x:v>
      </x:c>
      <x:c r="F9" s="24" t="str"/>
    </x:row>
    <x:row r="10">
      <x:c r="A10" s="26" t="str">
        <x:v>Model boundary</x:v>
      </x:c>
      <x:c r="B10" s="27" t="str">
        <x:v>Universal screening-to-detailed TEA. Environmental section is screening-level and is not a full LCA.</x:v>
      </x:c>
      <x:c r="C10" s="27" t="str"/>
      <x:c r="D10" s="27" t="str"/>
      <x:c r="E10" s="27" t="str"/>
      <x:c r="F10" s="28" t="str"/>
    </x:row>
    <x:row r="11">
      <x:c r="A11" s="6" t="str">
        <x:v>V0.6 new modules</x:v>
      </x:c>
      <x:c r="B11" t="str">
        <x:v>See OUTPUTS_GUIDE, Uncertainty_Settings and Uncertainty_Parameters. The Python engine now generates probabilistic viability, Monte Carlo drivers, R&amp;D-priority indices and a consolidated Decision_Summary.</x:v>
      </x:c>
      <x:c r="C11" t="str">
        <x:v>New</x:v>
      </x:c>
      <x:c r="D11" t="str">
        <x:v>Decision support</x:v>
      </x:c>
      <x:c r="E11" t="str">
        <x:v>Uncertainty inputs are illustrative unless supported by project evidence.</x:v>
      </x:c>
      <x:c r="F1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6" hidden="0" customWidth="1"/>
    <x:col min="4" max="4" width="15" hidden="0" customWidth="1"/>
    <x:col min="5" max="5" width="14" hidden="0" customWidth="1"/>
    <x:col min="6" max="6" width="52" hidden="0" customWidth="1"/>
  </x:cols>
  <x:sheetData>
    <x:row r="1" ht="28" customHeight="1">
      <x:c r="A1" s="20" t="str">
        <x:v>Project Definition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23"/>
      <x:c r="B3" s="15"/>
      <x:c r="C3" s="15"/>
      <x:c r="D3" s="15"/>
      <x:c r="E3" s="15"/>
      <x:c r="F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Required?</x:v>
      </x:c>
      <x:c r="E4" s="41" t="str">
        <x:v>Source ID</x:v>
      </x:c>
      <x:c r="F4" s="55" t="str">
        <x:v>Notes</x:v>
      </x:c>
    </x:row>
    <x:row r="5">
      <x:c r="A5" s="23" t="str">
        <x:v>Project name</x:v>
      </x:c>
      <x:c r="B5" s="52" t="str">
        <x:v>DOE/NREL H2A Current Central PEM Electrolysis</x:v>
      </x:c>
      <x:c r="C5" s="15" t="str">
        <x:v>-</x:v>
      </x:c>
      <x:c r="D5" s="15" t="str">
        <x:v>Yes</x:v>
      </x:c>
      <x:c r="E5" s="15" t="str">
        <x:v>S32</x:v>
      </x:c>
      <x:c r="F5" s="24" t="str">
        <x:v>Validation Case 2.</x:v>
      </x:c>
    </x:row>
    <x:row r="6">
      <x:c r="A6" s="23" t="str">
        <x:v>Process category</x:v>
      </x:c>
      <x:c r="B6" s="52" t="str">
        <x:v>Electrochemical hydrogen production</x:v>
      </x:c>
      <x:c r="C6" s="15" t="str">
        <x:v>-</x:v>
      </x:c>
      <x:c r="D6" s="15" t="str">
        <x:v>Yes</x:v>
      </x:c>
      <x:c r="E6" s="15" t="str">
        <x:v>S32</x:v>
      </x:c>
      <x:c r="F6" s="24" t="str"/>
    </x:row>
    <x:row r="7">
      <x:c r="A7" s="23" t="str">
        <x:v>Primary product</x:v>
      </x:c>
      <x:c r="B7" s="52" t="str">
        <x:v>Hydrogen</x:v>
      </x:c>
      <x:c r="C7" s="15" t="str">
        <x:v>-</x:v>
      </x:c>
      <x:c r="D7" s="15" t="str">
        <x:v>Yes</x:v>
      </x:c>
      <x:c r="E7" s="15" t="str">
        <x:v>S32</x:v>
      </x:c>
      <x:c r="F7" s="24" t="str"/>
    </x:row>
    <x:row r="8">
      <x:c r="A8" s="23" t="str">
        <x:v>Annual operating hours</x:v>
      </x:c>
      <x:c r="B8" s="52" t="n">
        <x:v>8497.199999999999</x:v>
      </x:c>
      <x:c r="C8" s="15" t="str">
        <x:v>h/year</x:v>
      </x:c>
      <x:c r="D8" s="15" t="str">
        <x:v>Yes</x:v>
      </x:c>
      <x:c r="E8" s="15" t="str">
        <x:v>S32</x:v>
      </x:c>
      <x:c r="F8" s="24" t="str">
        <x:v>97% capacity factor.</x:v>
      </x:c>
    </x:row>
    <x:row r="9">
      <x:c r="A9" s="23" t="str">
        <x:v>Project operating life</x:v>
      </x:c>
      <x:c r="B9" s="52" t="n">
        <x:v>40</x:v>
      </x:c>
      <x:c r="C9" s="15" t="str">
        <x:v>years</x:v>
      </x:c>
      <x:c r="D9" s="15" t="str">
        <x:v>Yes</x:v>
      </x:c>
      <x:c r="E9" s="15" t="str">
        <x:v>S32</x:v>
      </x:c>
      <x:c r="F9" s="24" t="str"/>
    </x:row>
    <x:row r="10">
      <x:c r="A10" s="23" t="str">
        <x:v>Currency</x:v>
      </x:c>
      <x:c r="B10" s="52" t="str">
        <x:v>USD</x:v>
      </x:c>
      <x:c r="C10" s="15" t="str">
        <x:v>-</x:v>
      </x:c>
      <x:c r="D10" s="15" t="str">
        <x:v>Yes</x:v>
      </x:c>
      <x:c r="E10" s="15" t="str">
        <x:v>S32</x:v>
      </x:c>
      <x:c r="F10" s="24" t="str"/>
    </x:row>
    <x:row r="11">
      <x:c r="A11" s="23" t="str">
        <x:v>Currency reference year</x:v>
      </x:c>
      <x:c r="B11" s="52" t="n">
        <x:v>2016</x:v>
      </x:c>
      <x:c r="C11" s="15" t="str">
        <x:v>year</x:v>
      </x:c>
      <x:c r="D11" s="15" t="str">
        <x:v>Yes</x:v>
      </x:c>
      <x:c r="E11" s="15" t="str">
        <x:v>S32</x:v>
      </x:c>
      <x:c r="F11" s="24" t="str"/>
    </x:row>
    <x:row r="12">
      <x:c r="A12" s="56" t="str">
        <x:v>Region</x:v>
      </x:c>
      <x:c r="B12" s="57" t="str">
        <x:v>United States</x:v>
      </x:c>
      <x:c r="C12" s="27" t="str">
        <x:v>-</x:v>
      </x:c>
      <x:c r="D12" s="27" t="str">
        <x:v>No</x:v>
      </x:c>
      <x:c r="E12" s="27" t="str">
        <x:v>S32</x:v>
      </x:c>
      <x:c r="F12" s="28" t="str">
        <x:v>H2A current central case.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64" hidden="0" customWidth="1"/>
  </x:cols>
  <x:sheetData>
    <x:row r="1" ht="28" customHeight="1">
      <x:c r="A1" s="20" t="str">
        <x:v>Material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Material Name</x:v>
      </x:c>
      <x:c r="C4" s="41" t="str">
        <x:v>Role</x:v>
      </x:c>
      <x:c r="D4" s="41" t="str">
        <x:v>Flow Rate</x:v>
      </x:c>
      <x:c r="E4" s="41" t="str">
        <x:v>Flow Unit</x:v>
      </x:c>
      <x:c r="F4" s="41" t="str">
        <x:v>Linked Price</x:v>
      </x:c>
      <x:c r="G4" s="41" t="str">
        <x:v>Price Unit</x:v>
      </x:c>
      <x:c r="H4" s="41" t="str">
        <x:v>Library ID</x:v>
      </x:c>
      <x:c r="I4" s="41" t="str">
        <x:v>Source ID</x:v>
      </x:c>
      <x:c r="J4" s="55" t="str">
        <x:v>Notes</x:v>
      </x:c>
    </x:row>
    <x:row r="5">
      <x:c r="A5" s="64" t="str">
        <x:v>No</x:v>
      </x:c>
      <x:c r="B5" s="57" t="str">
        <x:v>Water</x:v>
      </x:c>
      <x:c r="C5" s="57" t="str">
        <x:v>Process material</x:v>
      </x:c>
      <x:c r="D5" s="57" t="n">
        <x:v>0</x:v>
      </x:c>
      <x:c r="E5" s="57" t="str">
        <x:v>kg/h</x:v>
      </x:c>
      <x:c r="F5" s="57" t="n">
        <x:v>0</x:v>
      </x:c>
      <x:c r="G5" s="57" t="str">
        <x:v>USD/kg</x:v>
      </x:c>
      <x:c r="H5" s="57" t="str"/>
      <x:c r="I5" s="27" t="str">
        <x:v>S32</x:v>
      </x:c>
      <x:c r="J5" s="28" t="str">
        <x:v>Water is minor in the published cost breakdown; electricity dominates. Information-only here.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0" hidden="0" customWidth="1"/>
    <x:col min="5" max="5" width="16" hidden="0" customWidth="1"/>
    <x:col min="6" max="6" width="23" hidden="0" customWidth="1"/>
    <x:col min="7" max="7" width="18" hidden="0" customWidth="1"/>
    <x:col min="8" max="8" width="14" hidden="0" customWidth="1"/>
    <x:col min="9" max="9" width="14" hidden="0" customWidth="1"/>
    <x:col min="10" max="10" width="60" hidden="0" customWidth="1"/>
  </x:cols>
  <x:sheetData>
    <x:row r="1" ht="28" customHeight="1">
      <x:c r="A1" s="20" t="str">
        <x:v>Products and Revenue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Product Name</x:v>
      </x:c>
      <x:c r="C4" s="41" t="str">
        <x:v>Role</x:v>
      </x:c>
      <x:c r="D4" s="41" t="str">
        <x:v>Production Rate</x:v>
      </x:c>
      <x:c r="E4" s="41" t="str">
        <x:v>Unit</x:v>
      </x:c>
      <x:c r="F4" s="41" t="str">
        <x:v>Selling Price / Credit</x:v>
      </x:c>
      <x:c r="G4" s="41" t="str">
        <x:v>Price Unit</x:v>
      </x:c>
      <x:c r="H4" s="41" t="str">
        <x:v>Library ID</x:v>
      </x:c>
      <x:c r="I4" s="41" t="str">
        <x:v>Source ID</x:v>
      </x:c>
      <x:c r="J4" s="55" t="str">
        <x:v>Notes</x:v>
      </x:c>
    </x:row>
    <x:row r="5">
      <x:c r="A5" s="64" t="str">
        <x:v>Yes</x:v>
      </x:c>
      <x:c r="B5" s="57" t="str">
        <x:v>Hydrogen</x:v>
      </x:c>
      <x:c r="C5" s="57" t="str">
        <x:v>Primary</x:v>
      </x:c>
      <x:c r="D5" s="57" t="n">
        <x:v>2083.3333333333335</x:v>
      </x:c>
      <x:c r="E5" s="57" t="str">
        <x:v>kg/h</x:v>
      </x:c>
      <x:c r="F5" s="57" t="n">
        <x:v>4.83</x:v>
      </x:c>
      <x:c r="G5" s="57" t="str">
        <x:v>USD/kg</x:v>
      </x:c>
      <x:c r="H5" s="57" t="str"/>
      <x:c r="I5" s="27" t="str">
        <x:v>S32</x:v>
      </x:c>
      <x:c r="J5" s="28" t="str">
        <x:v>Published DOE H2A baseline production cost target.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66" hidden="0" customWidth="1"/>
  </x:cols>
  <x:sheetData>
    <x:row r="1" ht="28" customHeight="1">
      <x:c r="A1" s="20" t="str">
        <x:v>Utility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Utility Name</x:v>
      </x:c>
      <x:c r="C4" s="41" t="str">
        <x:v>Demand</x:v>
      </x:c>
      <x:c r="D4" s="41" t="str">
        <x:v>Unit</x:v>
      </x:c>
      <x:c r="E4" s="41" t="str">
        <x:v>Linked Price</x:v>
      </x:c>
      <x:c r="F4" s="41" t="str">
        <x:v>Price Unit</x:v>
      </x:c>
      <x:c r="G4" s="41" t="str">
        <x:v>Library ID</x:v>
      </x:c>
      <x:c r="H4" s="41" t="str">
        <x:v>Source ID</x:v>
      </x:c>
      <x:c r="I4" s="41" t="str">
        <x:v>Category</x:v>
      </x:c>
      <x:c r="J4" s="55" t="str">
        <x:v>Notes</x:v>
      </x:c>
    </x:row>
    <x:row r="5">
      <x:c r="A5" s="64" t="str">
        <x:v>No</x:v>
      </x:c>
      <x:c r="B5" s="57" t="str">
        <x:v>Electricity</x:v>
      </x:c>
      <x:c r="C5" s="57" t="n">
        <x:v>115625.00000000001</x:v>
      </x:c>
      <x:c r="D5" s="57" t="str">
        <x:v>kWh/h</x:v>
      </x:c>
      <x:c r="E5" s="57" t="n">
        <x:v>0.0735</x:v>
      </x:c>
      <x:c r="F5" s="57" t="str">
        <x:v>USD/kWh</x:v>
      </x:c>
      <x:c r="G5" s="57" t="str"/>
      <x:c r="H5" s="57" t="str">
        <x:v>S32</x:v>
      </x:c>
      <x:c r="I5" s="27" t="str">
        <x:v>Electricity</x:v>
      </x:c>
      <x:c r="J5" s="28" t="str">
        <x:v>Published technical/economic input. Inactive because aggregate electricity OPEX is entered directly for validation.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</x:cols>
  <x:sheetData>
    <x:row r="1" ht="28" customHeight="1">
      <x:c r="A1" s="20" t="str">
        <x:v>Waste and Disposal Inputs</x:v>
      </x:c>
      <x:c r="B1" s="21"/>
      <x:c r="C1" s="21"/>
      <x:c r="D1" s="21"/>
      <x:c r="E1" s="21"/>
      <x:c r="F1" s="21"/>
      <x:c r="G1" s="21"/>
      <x:c r="H1" s="21"/>
      <x:c r="I1" s="21"/>
      <x:c r="J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24"/>
    </x:row>
    <x:row r="4">
      <x:c r="A4" s="54" t="str">
        <x:v>Active?</x:v>
      </x:c>
      <x:c r="B4" s="41" t="str">
        <x:v>Waste Name</x:v>
      </x:c>
      <x:c r="C4" s="41" t="str">
        <x:v>Flow Rate</x:v>
      </x:c>
      <x:c r="D4" s="41" t="str">
        <x:v>Unit</x:v>
      </x:c>
      <x:c r="E4" s="41" t="str">
        <x:v>Linked Disposal Cost</x:v>
      </x:c>
      <x:c r="F4" s="41" t="str">
        <x:v>Cost Unit</x:v>
      </x:c>
      <x:c r="G4" s="41" t="str">
        <x:v>Library ID</x:v>
      </x:c>
      <x:c r="H4" s="41" t="str">
        <x:v>Source ID</x:v>
      </x:c>
      <x:c r="I4" s="41" t="str">
        <x:v>Category</x:v>
      </x:c>
      <x:c r="J4" s="55" t="str">
        <x:v>Notes</x:v>
      </x:c>
    </x:row>
    <x:row r="5">
      <x:c r="A5" s="64" t="str">
        <x:v>No</x:v>
      </x:c>
      <x:c r="B5" s="57" t="str">
        <x:v>Published waste/disposal component</x:v>
      </x:c>
      <x:c r="C5" s="57" t="n">
        <x:v>0</x:v>
      </x:c>
      <x:c r="D5" s="57" t="str">
        <x:v>kg/h</x:v>
      </x:c>
      <x:c r="E5" s="57" t="n">
        <x:v>0</x:v>
      </x:c>
      <x:c r="F5" s="57" t="str">
        <x:v>USD/kg</x:v>
      </x:c>
      <x:c r="G5" s="57" t="str"/>
      <x:c r="H5" s="57" t="str">
        <x:v>S32</x:v>
      </x:c>
      <x:c r="I5" s="27" t="str">
        <x:v>Other</x:v>
      </x:c>
      <x:c r="J5" s="28" t="str">
        <x:v>Included in aggregate variable OPEX where applicable.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2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14" hidden="0" customWidth="1"/>
    <x:col min="14" max="14" width="62" hidden="0" customWidth="1"/>
  </x:cols>
  <x:sheetData>
    <x:row r="1" ht="28" customHeight="1">
      <x:c r="A1" s="20" t="str">
        <x:v>Equipment / Capital Cost Inputs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24"/>
    </x:row>
    <x:row r="4">
      <x:c r="A4" s="54" t="str">
        <x:v>Active?</x:v>
      </x:c>
      <x:c r="B4" s="41" t="str">
        <x:v>Equipment / Cost Block</x:v>
      </x:c>
      <x:c r="C4" s="41" t="str">
        <x:v>Cost Library ID</x:v>
      </x:c>
      <x:c r="D4" s="41" t="str">
        <x:v>Actual Capacity</x:v>
      </x:c>
      <x:c r="E4" s="41" t="str">
        <x:v>Capacity Unit</x:v>
      </x:c>
      <x:c r="F4" s="41" t="str">
        <x:v>Base Capacity</x:v>
      </x:c>
      <x:c r="G4" s="41" t="str">
        <x:v>Base Cost</x:v>
      </x:c>
      <x:c r="H4" s="41" t="str">
        <x:v>Base Year</x:v>
      </x:c>
      <x:c r="I4" s="41" t="str">
        <x:v>Scaling Exponent</x:v>
      </x:c>
      <x:c r="J4" s="41" t="str">
        <x:v>Installation Factor</x:v>
      </x:c>
      <x:c r="K4" s="41" t="str">
        <x:v>Purchased Cost</x:v>
      </x:c>
      <x:c r="L4" s="41" t="str">
        <x:v>Installed Cost</x:v>
      </x:c>
      <x:c r="M4" s="41" t="str">
        <x:v>Source ID</x:v>
      </x:c>
      <x:c r="N4" s="55" t="str">
        <x:v>Notes</x:v>
      </x:c>
    </x:row>
    <x:row r="5">
      <x:c r="A5" s="74" t="str">
        <x:v>Yes</x:v>
      </x:c>
      <x:c r="B5" s="52" t="str">
        <x:v>PEM electrolyzer stack</x:v>
      </x:c>
      <x:c r="C5" s="52" t="str"/>
      <x:c r="D5" s="52" t="n">
        <x:v>119000</x:v>
      </x:c>
      <x:c r="E5" s="52" t="str">
        <x:v>kW</x:v>
      </x:c>
      <x:c r="F5" s="52" t="n">
        <x:v>1</x:v>
      </x:c>
      <x:c r="G5" s="52" t="n">
        <x:v>342</x:v>
      </x:c>
      <x:c r="H5" s="52" t="n">
        <x:v>2016</x:v>
      </x:c>
      <x:c r="I5" s="52" t="n">
        <x:v>1</x:v>
      </x:c>
      <x:c r="J5" s="52" t="n">
        <x:v>1.12</x:v>
      </x:c>
      <x:c r="K5" s="72" t="n">
        <x:f>G5*(D5/F5)^I5</x:f>
        <x:v>40698000</x:v>
      </x:c>
      <x:c r="L5" s="72" t="n">
        <x:f>K5*J5</x:f>
        <x:v>45581760.00000001</x:v>
      </x:c>
      <x:c r="M5" s="15" t="str">
        <x:v>S32</x:v>
      </x:c>
      <x:c r="N5" s="24" t="str">
        <x:v>Published 342 $/kW stack cost; 12% installation applied.</x:v>
      </x:c>
    </x:row>
    <x:row r="6">
      <x:c r="A6" s="74" t="str">
        <x:v>Yes</x:v>
      </x:c>
      <x:c r="B6" s="52" t="str">
        <x:v>Mechanical balance of plant</x:v>
      </x:c>
      <x:c r="C6" s="52" t="str"/>
      <x:c r="D6" s="52" t="n">
        <x:v>119000</x:v>
      </x:c>
      <x:c r="E6" s="52" t="str">
        <x:v>kW</x:v>
      </x:c>
      <x:c r="F6" s="52" t="n">
        <x:v>1</x:v>
      </x:c>
      <x:c r="G6" s="52" t="n">
        <x:v>36</x:v>
      </x:c>
      <x:c r="H6" s="52" t="n">
        <x:v>2016</x:v>
      </x:c>
      <x:c r="I6" s="52" t="n">
        <x:v>1</x:v>
      </x:c>
      <x:c r="J6" s="52" t="n">
        <x:v>1.12</x:v>
      </x:c>
      <x:c r="K6" s="72" t="n">
        <x:f>G6*(D6/F6)^I6</x:f>
        <x:v>4284000</x:v>
      </x:c>
      <x:c r="L6" s="72" t="n">
        <x:f>K6*J6</x:f>
        <x:v>4798080</x:v>
      </x:c>
      <x:c r="M6" s="15" t="str">
        <x:v>S32</x:v>
      </x:c>
      <x:c r="N6" s="24" t="str">
        <x:v>Published 36 $/kW mechanical BoP; 12% installation applied.</x:v>
      </x:c>
    </x:row>
    <x:row r="7">
      <x:c r="A7" s="64" t="str">
        <x:v>Yes</x:v>
      </x:c>
      <x:c r="B7" s="57" t="str">
        <x:v>Electrical balance of plant</x:v>
      </x:c>
      <x:c r="C7" s="57" t="str"/>
      <x:c r="D7" s="57" t="n">
        <x:v>119000</x:v>
      </x:c>
      <x:c r="E7" s="57" t="str">
        <x:v>kW</x:v>
      </x:c>
      <x:c r="F7" s="57" t="n">
        <x:v>1</x:v>
      </x:c>
      <x:c r="G7" s="57" t="n">
        <x:v>82</x:v>
      </x:c>
      <x:c r="H7" s="57" t="n">
        <x:v>2016</x:v>
      </x:c>
      <x:c r="I7" s="57" t="n">
        <x:v>1</x:v>
      </x:c>
      <x:c r="J7" s="57" t="n">
        <x:v>1.12</x:v>
      </x:c>
      <x:c r="K7" s="75" t="n">
        <x:f>G7*(D7/F7)^I7</x:f>
        <x:v>9758000</x:v>
      </x:c>
      <x:c r="L7" s="75" t="n">
        <x:f>K7*J7</x:f>
        <x:v>10928960.000000002</x:v>
      </x:c>
      <x:c r="M7" s="27" t="str">
        <x:v>S32</x:v>
      </x:c>
      <x:c r="N7" s="28" t="str">
        <x:v>Published 82 $/kW electrical BoP; 12% installation applied.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20" hidden="0" customWidth="1"/>
    <x:col min="9" max="9" width="68" hidden="0" customWidth="1"/>
  </x:cols>
  <x:sheetData>
    <x:row r="1" ht="28" customHeight="1">
      <x:c r="A1" s="20" t="str">
        <x:v>Fixed and Aggregate Annual OPEX</x:v>
      </x:c>
      <x:c r="B1" s="21"/>
      <x:c r="C1" s="21"/>
      <x:c r="D1" s="21"/>
      <x:c r="E1" s="21"/>
      <x:c r="F1" s="21"/>
      <x:c r="G1" s="21"/>
      <x:c r="H1" s="21"/>
      <x:c r="I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24"/>
    </x:row>
    <x:row r="4">
      <x:c r="A4" s="54" t="str">
        <x:v>Active?</x:v>
      </x:c>
      <x:c r="B4" s="41" t="str">
        <x:v>Cost Item</x:v>
      </x:c>
      <x:c r="C4" s="41" t="str">
        <x:v>Basis</x:v>
      </x:c>
      <x:c r="D4" s="41" t="str">
        <x:v>Value / Factor</x:v>
      </x:c>
      <x:c r="E4" s="41" t="str">
        <x:v>Unit</x:v>
      </x:c>
      <x:c r="F4" s="41" t="str">
        <x:v>Library ID</x:v>
      </x:c>
      <x:c r="G4" s="41" t="str">
        <x:v>Source ID</x:v>
      </x:c>
      <x:c r="H4" s="41" t="str">
        <x:v>Category</x:v>
      </x:c>
      <x:c r="I4" s="55" t="str">
        <x:v>Notes</x:v>
      </x:c>
    </x:row>
    <x:row r="5">
      <x:c r="A5" s="74" t="str">
        <x:v>Yes</x:v>
      </x:c>
      <x:c r="B5" s="52" t="str">
        <x:v>Published fixed O&amp;M proxy</x:v>
      </x:c>
      <x:c r="C5" s="52" t="str">
        <x:v>Direct annual</x:v>
      </x:c>
      <x:c r="D5" s="52" t="n">
        <x:v>4248600</x:v>
      </x:c>
      <x:c r="E5" s="52" t="str">
        <x:v>USD/year</x:v>
      </x:c>
      <x:c r="F5" s="52" t="str"/>
      <x:c r="G5" s="52" t="str">
        <x:v>S32</x:v>
      </x:c>
      <x:c r="H5" s="15" t="str">
        <x:v>Fixed OPEX</x:v>
      </x:c>
      <x:c r="I5" s="24" t="str">
        <x:v>Derived from published 0.24 $/kg levelized fixed O&amp;M because raw annual fixed O&amp;M is not printed in Record 19009.</x:v>
      </x:c>
    </x:row>
    <x:row r="6">
      <x:c r="A6" s="64" t="str">
        <x:v>Yes</x:v>
      </x:c>
      <x:c r="B6" s="57" t="str">
        <x:v>Electricity OPEX proxy</x:v>
      </x:c>
      <x:c r="C6" s="57" t="str">
        <x:v>Direct annual</x:v>
      </x:c>
      <x:c r="D6" s="57" t="n">
        <x:v>72212923.125</x:v>
      </x:c>
      <x:c r="E6" s="57" t="str">
        <x:v>USD/year</x:v>
      </x:c>
      <x:c r="F6" s="57" t="str"/>
      <x:c r="G6" s="57" t="str">
        <x:v>S32</x:v>
      </x:c>
      <x:c r="H6" s="27" t="str">
        <x:v>Variable OPEX</x:v>
      </x:c>
      <x:c r="I6" s="28" t="str">
        <x:v>Annual H2 × 55.5 kWh/kg × 0.0735 $/kWh.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68" hidden="0" customWidth="1"/>
  </x:cols>
  <x:sheetData>
    <x:row r="1" ht="28" customHeight="1">
      <x:c r="A1" s="20" t="str">
        <x:v>Financial Assumptions — Simple / Universal Layer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Library ID</x:v>
      </x:c>
      <x:c r="E4" s="41" t="str">
        <x:v>Source ID</x:v>
      </x:c>
      <x:c r="F4" s="41" t="str">
        <x:v>Active?</x:v>
      </x:c>
      <x:c r="G4" s="55" t="str">
        <x:v>Notes</x:v>
      </x:c>
    </x:row>
    <x:row r="5">
      <x:c r="A5" s="23" t="str">
        <x:v>Discount rate / target return</x:v>
      </x:c>
      <x:c r="B5" s="52" t="n">
        <x:v>0.08</x:v>
      </x:c>
      <x:c r="C5" s="15" t="str">
        <x:v>fraction</x:v>
      </x:c>
      <x:c r="D5" s="15" t="str"/>
      <x:c r="E5" s="15" t="str">
        <x:v>S33</x:v>
      </x:c>
      <x:c r="F5" s="15" t="str">
        <x:v>Yes</x:v>
      </x:c>
      <x:c r="G5" s="24" t="str">
        <x:v>H2A v3.2018 equity target IRR.</x:v>
      </x:c>
    </x:row>
    <x:row r="6">
      <x:c r="A6" s="23" t="str">
        <x:v>Corporate tax rate</x:v>
      </x:c>
      <x:c r="B6" s="52" t="n">
        <x:v>0.2574</x:v>
      </x:c>
      <x:c r="C6" s="15" t="str">
        <x:v>fraction</x:v>
      </x:c>
      <x:c r="D6" s="15" t="str"/>
      <x:c r="E6" s="15" t="str">
        <x:v>S33</x:v>
      </x:c>
      <x:c r="F6" s="15" t="str">
        <x:v>Yes</x:v>
      </x:c>
      <x:c r="G6" s="24" t="str"/>
    </x:row>
    <x:row r="7">
      <x:c r="A7" s="23" t="str">
        <x:v>Depreciation method</x:v>
      </x:c>
      <x:c r="B7" s="52" t="str">
        <x:v>MACRS 20-year</x:v>
      </x:c>
      <x:c r="C7" s="15" t="str">
        <x:v>method</x:v>
      </x:c>
      <x:c r="D7" s="15" t="str"/>
      <x:c r="E7" s="15" t="str">
        <x:v>S33</x:v>
      </x:c>
      <x:c r="F7" s="15" t="str">
        <x:v>Yes</x:v>
      </x:c>
      <x:c r="G7" s="24" t="str">
        <x:v>Detailed mode.</x:v>
      </x:c>
    </x:row>
    <x:row r="8">
      <x:c r="A8" s="23" t="str">
        <x:v>Depreciation period</x:v>
      </x:c>
      <x:c r="B8" s="52" t="n">
        <x:v>20</x:v>
      </x:c>
      <x:c r="C8" s="15" t="str">
        <x:v>years</x:v>
      </x:c>
      <x:c r="D8" s="15" t="str"/>
      <x:c r="E8" s="15" t="str">
        <x:v>S33</x:v>
      </x:c>
      <x:c r="F8" s="15" t="str">
        <x:v>Yes</x:v>
      </x:c>
      <x:c r="G8" s="24" t="str"/>
    </x:row>
    <x:row r="9">
      <x:c r="A9" s="23" t="str">
        <x:v>Working capital factor</x:v>
      </x:c>
      <x:c r="B9" s="52" t="n">
        <x:v>0</x:v>
      </x:c>
      <x:c r="C9" s="15" t="str">
        <x:v>fraction FCI</x:v>
      </x:c>
      <x:c r="D9" s="15" t="str"/>
      <x:c r="E9" s="15" t="str">
        <x:v>S33</x:v>
      </x:c>
      <x:c r="F9" s="15" t="str">
        <x:v>No</x:v>
      </x:c>
      <x:c r="G9" s="24" t="str">
        <x:v>Handled in Detailed_Finance.</x:v>
      </x:c>
    </x:row>
    <x:row r="10">
      <x:c r="A10" s="23" t="str">
        <x:v>Startup capital factor</x:v>
      </x:c>
      <x:c r="B10" s="52" t="n">
        <x:v>0</x:v>
      </x:c>
      <x:c r="C10" s="15" t="str">
        <x:v>fraction FCI</x:v>
      </x:c>
      <x:c r="D10" s="15" t="str"/>
      <x:c r="E10" s="15" t="str">
        <x:v>S33</x:v>
      </x:c>
      <x:c r="F10" s="15" t="str">
        <x:v>No</x:v>
      </x:c>
      <x:c r="G10" s="24" t="str">
        <x:v>Handled in Detailed_Finance.</x:v>
      </x:c>
    </x:row>
    <x:row r="11">
      <x:c r="A11" s="23" t="str">
        <x:v>Salvage factor</x:v>
      </x:c>
      <x:c r="B11" s="52" t="n">
        <x:v>0</x:v>
      </x:c>
      <x:c r="C11" s="15" t="str">
        <x:v>fraction FCI</x:v>
      </x:c>
      <x:c r="D11" s="15" t="str"/>
      <x:c r="E11" s="15" t="str">
        <x:v>S33</x:v>
      </x:c>
      <x:c r="F11" s="15" t="str">
        <x:v>No</x:v>
      </x:c>
      <x:c r="G11" s="24" t="str">
        <x:v>Handled in Detailed_Finance.</x:v>
      </x:c>
    </x:row>
    <x:row r="12">
      <x:c r="A12" s="23" t="str">
        <x:v>Engineering / indirect factor</x:v>
      </x:c>
      <x:c r="B12" s="52" t="n">
        <x:v>0</x:v>
      </x:c>
      <x:c r="C12" s="15" t="str">
        <x:v>fraction installed</x:v>
      </x:c>
      <x:c r="D12" s="15" t="str"/>
      <x:c r="E12" s="15" t="str">
        <x:v>S32</x:v>
      </x:c>
      <x:c r="F12" s="15" t="str">
        <x:v>No</x:v>
      </x:c>
      <x:c r="G12" s="24" t="str">
        <x:v>Not separately published in Record 19009 summary.</x:v>
      </x:c>
    </x:row>
    <x:row r="13">
      <x:c r="A13" s="23" t="str">
        <x:v>Project contingency</x:v>
      </x:c>
      <x:c r="B13" s="52" t="n">
        <x:v>0</x:v>
      </x:c>
      <x:c r="C13" s="15" t="str">
        <x:v>fraction</x:v>
      </x:c>
      <x:c r="D13" s="15" t="str"/>
      <x:c r="E13" s="15" t="str">
        <x:v>S32</x:v>
      </x:c>
      <x:c r="F13" s="15" t="str">
        <x:v>No</x:v>
      </x:c>
      <x:c r="G13" s="24" t="str"/>
    </x:row>
    <x:row r="14">
      <x:c r="A14" s="23" t="str">
        <x:v>Process contingency</x:v>
      </x:c>
      <x:c r="B14" s="52" t="n">
        <x:v>0</x:v>
      </x:c>
      <x:c r="C14" s="15" t="str">
        <x:v>fraction</x:v>
      </x:c>
      <x:c r="D14" s="15" t="str"/>
      <x:c r="E14" s="15" t="str">
        <x:v>S32</x:v>
      </x:c>
      <x:c r="F14" s="15" t="str">
        <x:v>No</x:v>
      </x:c>
      <x:c r="G14" s="24" t="str"/>
    </x:row>
    <x:row r="15">
      <x:c r="A15" s="56" t="str">
        <x:v>Land</x:v>
      </x:c>
      <x:c r="B15" s="57" t="n">
        <x:v>0</x:v>
      </x:c>
      <x:c r="C15" s="27" t="str">
        <x:v>USD</x:v>
      </x:c>
      <x:c r="D15" s="27" t="str"/>
      <x:c r="E15" s="27" t="str">
        <x:v>S32</x:v>
      </x:c>
      <x:c r="F15" s="27" t="str">
        <x:v>No</x:v>
      </x:c>
      <x:c r="G15" s="28" t="str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14" hidden="0" customWidth="1"/>
    <x:col min="5" max="5" width="14" hidden="0" customWidth="1"/>
    <x:col min="6" max="6" width="34" hidden="0" customWidth="1"/>
    <x:col min="7" max="7" width="56" hidden="0" customWidth="1"/>
  </x:cols>
  <x:sheetData>
    <x:row r="1" ht="28" customHeight="1">
      <x:c r="A1" s="20" t="str">
        <x:v>Detailed Finance Mode — Universal V0.6 Layer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Parameter</x:v>
      </x:c>
      <x:c r="B4" s="41" t="str">
        <x:v>Value</x:v>
      </x:c>
      <x:c r="C4" s="41" t="str">
        <x:v>Unit</x:v>
      </x:c>
      <x:c r="D4" s="41" t="str">
        <x:v>Active?</x:v>
      </x:c>
      <x:c r="E4" s="41" t="str">
        <x:v>Source ID</x:v>
      </x:c>
      <x:c r="F4" s="41" t="str">
        <x:v>Method / Treatment</x:v>
      </x:c>
      <x:c r="G4" s="55" t="str">
        <x:v>Notes</x:v>
      </x:c>
    </x:row>
    <x:row r="5">
      <x:c r="A5" s="23" t="str">
        <x:v>Finance mode</x:v>
      </x:c>
      <x:c r="B5" s="52" t="str">
        <x:v>H2A V3.2018 Detailed</x:v>
      </x:c>
      <x:c r="C5" s="15" t="str">
        <x:v>mode</x:v>
      </x:c>
      <x:c r="D5" s="15" t="str">
        <x:v>Yes</x:v>
      </x:c>
      <x:c r="E5" s="15" t="str">
        <x:v>S33</x:v>
      </x:c>
      <x:c r="F5" s="15" t="str">
        <x:v>Detailed DCF</x:v>
      </x:c>
      <x:c r="G5" s="24" t="str"/>
    </x:row>
    <x:row r="6">
      <x:c r="A6" s="23" t="str">
        <x:v>Construction year 1 share</x:v>
      </x:c>
      <x:c r="B6" s="52" t="n">
        <x:v>0.08</x:v>
      </x:c>
      <x:c r="C6" s="15" t="str">
        <x:v>fraction</x:v>
      </x:c>
      <x:c r="D6" s="15" t="str">
        <x:v>Yes</x:v>
      </x:c>
      <x:c r="E6" s="15" t="str">
        <x:v>S33</x:v>
      </x:c>
      <x:c r="F6" s="15" t="str">
        <x:v>Capital spending</x:v>
      </x:c>
      <x:c r="G6" s="24" t="str"/>
    </x:row>
    <x:row r="7">
      <x:c r="A7" s="23" t="str">
        <x:v>Construction year 2 share</x:v>
      </x:c>
      <x:c r="B7" s="52" t="n">
        <x:v>0.6</x:v>
      </x:c>
      <x:c r="C7" s="15" t="str">
        <x:v>fraction</x:v>
      </x:c>
      <x:c r="D7" s="15" t="str">
        <x:v>Yes</x:v>
      </x:c>
      <x:c r="E7" s="15" t="str">
        <x:v>S33</x:v>
      </x:c>
      <x:c r="F7" s="15" t="str">
        <x:v>Capital spending</x:v>
      </x:c>
      <x:c r="G7" s="24" t="str"/>
    </x:row>
    <x:row r="8">
      <x:c r="A8" s="23" t="str">
        <x:v>Construction year 3 share</x:v>
      </x:c>
      <x:c r="B8" s="52" t="n">
        <x:v>0.32</x:v>
      </x:c>
      <x:c r="C8" s="15" t="str">
        <x:v>fraction</x:v>
      </x:c>
      <x:c r="D8" s="15" t="str">
        <x:v>Yes</x:v>
      </x:c>
      <x:c r="E8" s="15" t="str">
        <x:v>S33</x:v>
      </x:c>
      <x:c r="F8" s="15" t="str">
        <x:v>Capital spending</x:v>
      </x:c>
      <x:c r="G8" s="24" t="str"/>
    </x:row>
    <x:row r="9">
      <x:c r="A9" s="23" t="str">
        <x:v>Startup revenue factor</x:v>
      </x:c>
      <x:c r="B9" s="52" t="n">
        <x:v>0.5</x:v>
      </x:c>
      <x:c r="C9" s="15" t="str">
        <x:v>fraction</x:v>
      </x:c>
      <x:c r="D9" s="15" t="str">
        <x:v>Yes</x:v>
      </x:c>
      <x:c r="E9" s="15" t="str">
        <x:v>S33</x:v>
      </x:c>
      <x:c r="F9" s="15" t="str">
        <x:v>Startup year</x:v>
      </x:c>
      <x:c r="G9" s="24" t="str"/>
    </x:row>
    <x:row r="10">
      <x:c r="A10" s="23" t="str">
        <x:v>Startup variable OPEX factor</x:v>
      </x:c>
      <x:c r="B10" s="52" t="n">
        <x:v>0.75</x:v>
      </x:c>
      <x:c r="C10" s="15" t="str">
        <x:v>fraction</x:v>
      </x:c>
      <x:c r="D10" s="15" t="str">
        <x:v>Yes</x:v>
      </x:c>
      <x:c r="E10" s="15" t="str">
        <x:v>S33</x:v>
      </x:c>
      <x:c r="F10" s="15" t="str">
        <x:v>Startup year</x:v>
      </x:c>
      <x:c r="G10" s="24" t="str"/>
    </x:row>
    <x:row r="11">
      <x:c r="A11" s="23" t="str">
        <x:v>Startup fixed OPEX factor</x:v>
      </x:c>
      <x:c r="B11" s="52" t="n">
        <x:v>1</x:v>
      </x:c>
      <x:c r="C11" s="15" t="str">
        <x:v>fraction</x:v>
      </x:c>
      <x:c r="D11" s="15" t="str">
        <x:v>Yes</x:v>
      </x:c>
      <x:c r="E11" s="15" t="str">
        <x:v>S33</x:v>
      </x:c>
      <x:c r="F11" s="15" t="str">
        <x:v>Startup year</x:v>
      </x:c>
      <x:c r="G11" s="24" t="str"/>
    </x:row>
    <x:row r="12">
      <x:c r="A12" s="23" t="str">
        <x:v>Working capital rate</x:v>
      </x:c>
      <x:c r="B12" s="52" t="n">
        <x:v>0.15</x:v>
      </x:c>
      <x:c r="C12" s="15" t="str">
        <x:v>fraction OPEX change</x:v>
      </x:c>
      <x:c r="D12" s="15" t="str">
        <x:v>Yes</x:v>
      </x:c>
      <x:c r="E12" s="15" t="str">
        <x:v>S33</x:v>
      </x:c>
      <x:c r="F12" s="15" t="str">
        <x:v>Dynamic WC</x:v>
      </x:c>
      <x:c r="G12" s="24" t="str"/>
    </x:row>
    <x:row r="13">
      <x:c r="A13" s="23" t="str">
        <x:v>Replacement capital NPV</x:v>
      </x:c>
      <x:c r="B13" s="52" t="n">
        <x:v>0</x:v>
      </x:c>
      <x:c r="C13" s="15" t="str">
        <x:v>2016 USD</x:v>
      </x:c>
      <x:c r="D13" s="15" t="str">
        <x:v>No</x:v>
      </x:c>
      <x:c r="E13" s="15" t="str">
        <x:v>S32</x:v>
      </x:c>
      <x:c r="F13" s="15" t="str">
        <x:v>Use interval/fraction schedule</x:v>
      </x:c>
      <x:c r="G13" s="24" t="str"/>
    </x:row>
    <x:row r="14">
      <x:c r="A14" s="23" t="str">
        <x:v>Replacement interval</x:v>
      </x:c>
      <x:c r="B14" s="52" t="n">
        <x:v>7</x:v>
      </x:c>
      <x:c r="C14" s="15" t="str">
        <x:v>years</x:v>
      </x:c>
      <x:c r="D14" s="15" t="str">
        <x:v>Yes</x:v>
      </x:c>
      <x:c r="E14" s="15" t="str">
        <x:v>S32</x:v>
      </x:c>
      <x:c r="F14" s="15" t="str">
        <x:v>Stack replacement</x:v>
      </x:c>
      <x:c r="G14" s="24" t="str"/>
    </x:row>
    <x:row r="15">
      <x:c r="A15" s="23" t="str">
        <x:v>Replacement cost fraction</x:v>
      </x:c>
      <x:c r="B15" s="52" t="n">
        <x:v>0.15</x:v>
      </x:c>
      <x:c r="C15" s="15" t="str">
        <x:v>fraction installed capital</x:v>
      </x:c>
      <x:c r="D15" s="15" t="str">
        <x:v>Yes</x:v>
      </x:c>
      <x:c r="E15" s="15" t="str">
        <x:v>S32</x:v>
      </x:c>
      <x:c r="F15" s="15" t="str">
        <x:v>Published baseline</x:v>
      </x:c>
      <x:c r="G15" s="24" t="str"/>
    </x:row>
    <x:row r="16">
      <x:c r="A16" s="23" t="str">
        <x:v>Decommissioning factor</x:v>
      </x:c>
      <x:c r="B16" s="52" t="n">
        <x:v>0.1</x:v>
      </x:c>
      <x:c r="C16" s="15" t="str">
        <x:v>fraction capital</x:v>
      </x:c>
      <x:c r="D16" s="15" t="str">
        <x:v>Yes</x:v>
      </x:c>
      <x:c r="E16" s="15" t="str">
        <x:v>S33</x:v>
      </x:c>
      <x:c r="F16" s="15" t="str">
        <x:v>Terminal</x:v>
      </x:c>
      <x:c r="G16" s="24" t="str"/>
    </x:row>
    <x:row r="17">
      <x:c r="A17" s="23" t="str">
        <x:v>Salvage factor</x:v>
      </x:c>
      <x:c r="B17" s="52" t="n">
        <x:v>0.1</x:v>
      </x:c>
      <x:c r="C17" s="15" t="str">
        <x:v>fraction capital</x:v>
      </x:c>
      <x:c r="D17" s="15" t="str">
        <x:v>Yes</x:v>
      </x:c>
      <x:c r="E17" s="15" t="str">
        <x:v>S33</x:v>
      </x:c>
      <x:c r="F17" s="15" t="str">
        <x:v>Terminal</x:v>
      </x:c>
      <x:c r="G17" s="24" t="str"/>
    </x:row>
    <x:row r="18">
      <x:c r="A18" s="23" t="str">
        <x:v>Equity fraction</x:v>
      </x:c>
      <x:c r="B18" s="52" t="n">
        <x:v>0.4</x:v>
      </x:c>
      <x:c r="C18" s="15" t="str">
        <x:v>fraction</x:v>
      </x:c>
      <x:c r="D18" s="15" t="str">
        <x:v>Yes</x:v>
      </x:c>
      <x:c r="E18" s="15" t="str">
        <x:v>S33</x:v>
      </x:c>
      <x:c r="F18" s="15" t="str">
        <x:v>H2A v3.2018 default</x:v>
      </x:c>
      <x:c r="G18" s="24" t="str"/>
    </x:row>
    <x:row r="19">
      <x:c r="A19" s="23" t="str">
        <x:v>Debt fraction</x:v>
      </x:c>
      <x:c r="B19" s="52" t="n">
        <x:v>0.6</x:v>
      </x:c>
      <x:c r="C19" s="15" t="str">
        <x:v>fraction</x:v>
      </x:c>
      <x:c r="D19" s="15" t="str">
        <x:v>Yes</x:v>
      </x:c>
      <x:c r="E19" s="15" t="str">
        <x:v>S33</x:v>
      </x:c>
      <x:c r="F19" s="15" t="str">
        <x:v>H2A v3.2018 default</x:v>
      </x:c>
      <x:c r="G19" s="24" t="str"/>
    </x:row>
    <x:row r="20">
      <x:c r="A20" s="23" t="str">
        <x:v>Debt interest rate</x:v>
      </x:c>
      <x:c r="B20" s="52" t="n">
        <x:v>0.037</x:v>
      </x:c>
      <x:c r="C20" s="15" t="str">
        <x:v>fraction</x:v>
      </x:c>
      <x:c r="D20" s="15" t="str">
        <x:v>Yes</x:v>
      </x:c>
      <x:c r="E20" s="15" t="str">
        <x:v>S33</x:v>
      </x:c>
      <x:c r="F20" s="15" t="str">
        <x:v>H2A v3.2018 default</x:v>
      </x:c>
      <x:c r="G20" s="24" t="str"/>
    </x:row>
    <x:row r="21">
      <x:c r="A21" s="56" t="str">
        <x:v>Equipment degradation rate</x:v>
      </x:c>
      <x:c r="B21" s="57" t="n">
        <x:v>1.5</x:v>
      </x:c>
      <x:c r="C21" s="27" t="str">
        <x:v>mV/khr</x:v>
      </x:c>
      <x:c r="D21" s="27" t="str">
        <x:v>Yes</x:v>
      </x:c>
      <x:c r="E21" s="27" t="str">
        <x:v>S32</x:v>
      </x:c>
      <x:c r="F21" s="27" t="str">
        <x:v>PEM stack degradation</x:v>
      </x:c>
      <x:c r="G21" s="28" t="str">
        <x:v>Published Record 19009 baseline.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20" hidden="0" customWidth="1"/>
    <x:col min="5" max="5" width="12" hidden="0" customWidth="1"/>
    <x:col min="6" max="6" width="15" hidden="0" customWidth="1"/>
    <x:col min="7" max="7" width="14" hidden="0" customWidth="1"/>
    <x:col min="8" max="8" width="34" hidden="0" customWidth="1"/>
    <x:col min="9" max="9" width="14" hidden="0" customWidth="1"/>
    <x:col min="10" max="10" width="12" hidden="0" customWidth="1"/>
    <x:col min="11" max="11" width="46" hidden="0" customWidth="1"/>
    <x:col min="12" max="12" width="60" hidden="0" customWidth="1"/>
  </x:cols>
  <x:sheetData>
    <x:row r="1" ht="28" customHeight="1">
      <x:c r="A1" s="20" t="str">
        <x:v>Economic Parameter Library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4"/>
    </x:row>
    <x:row r="4">
      <x:c r="A4" s="54" t="str">
        <x:v>Library ID</x:v>
      </x:c>
      <x:c r="B4" s="41" t="str">
        <x:v>Parameter</x:v>
      </x:c>
      <x:c r="C4" s="41" t="str">
        <x:v>Value</x:v>
      </x:c>
      <x:c r="D4" s="41" t="str">
        <x:v>Unit Used</x:v>
      </x:c>
      <x:c r="E4" s="41" t="str">
        <x:v>Currency</x:v>
      </x:c>
      <x:c r="F4" s="41" t="str">
        <x:v>Reference Year</x:v>
      </x:c>
      <x:c r="G4" s="41" t="str">
        <x:v>Source ID</x:v>
      </x:c>
      <x:c r="H4" s="41" t="str">
        <x:v>Source Name</x:v>
      </x:c>
      <x:c r="I4" s="41" t="str">
        <x:v>Confidence</x:v>
      </x:c>
      <x:c r="J4" s="41" t="str">
        <x:v>Active?</x:v>
      </x:c>
      <x:c r="K4" s="41" t="str">
        <x:v>Notes</x:v>
      </x:c>
      <x:c r="L4" s="55" t="str">
        <x:v>Source URL</x:v>
      </x:c>
    </x:row>
    <x:row r="5">
      <x:c r="A5" s="23" t="str">
        <x:v>EL-001</x:v>
      </x:c>
      <x:c r="B5" s="15" t="str">
        <x:v>Biomass</x:v>
      </x:c>
      <x:c r="C5" s="52" t="n">
        <x:v>80</x:v>
      </x:c>
      <x:c r="D5" s="15" t="str">
        <x:v>USD/ton</x:v>
      </x:c>
      <x:c r="E5" s="15" t="str">
        <x:v>USD</x:v>
      </x:c>
      <x:c r="F5" s="15" t="n">
        <x:v>2025</x:v>
      </x:c>
      <x:c r="G5" s="15" t="str">
        <x:v>S29</x:v>
      </x:c>
      <x:c r="H5" s="15" t="str">
        <x:v>Demo / user assumption</x:v>
      </x:c>
      <x:c r="I5" s="15" t="str">
        <x:v>Low</x:v>
      </x:c>
      <x:c r="J5" s="15" t="str">
        <x:v>Yes</x:v>
      </x:c>
      <x:c r="K5" s="15" t="str">
        <x:v>Generic placeholder</x:v>
      </x:c>
      <x:c r="L5" s="24" t="str"/>
    </x:row>
    <x:row r="6">
      <x:c r="A6" s="23" t="str">
        <x:v>EL-002</x:v>
      </x:c>
      <x:c r="B6" s="15" t="str">
        <x:v>Electricity</x:v>
      </x:c>
      <x:c r="C6" s="52" t="n">
        <x:v>0.12</x:v>
      </x:c>
      <x:c r="D6" s="15" t="str">
        <x:v>USD/kWh</x:v>
      </x:c>
      <x:c r="E6" s="15" t="str">
        <x:v>USD</x:v>
      </x:c>
      <x:c r="F6" s="15" t="n">
        <x:v>2025</x:v>
      </x:c>
      <x:c r="G6" s="15" t="str">
        <x:v>S29</x:v>
      </x:c>
      <x:c r="H6" s="15" t="str">
        <x:v>Demo / user assumption</x:v>
      </x:c>
      <x:c r="I6" s="15" t="str">
        <x:v>Low</x:v>
      </x:c>
      <x:c r="J6" s="15" t="str">
        <x:v>Yes</x:v>
      </x:c>
      <x:c r="K6" s="15" t="str">
        <x:v>Generic placeholder</x:v>
      </x:c>
      <x:c r="L6" s="24" t="str"/>
    </x:row>
    <x:row r="7">
      <x:c r="A7" s="23" t="str">
        <x:v>EL-003</x:v>
      </x:c>
      <x:c r="B7" s="15" t="str">
        <x:v>Heat</x:v>
      </x:c>
      <x:c r="C7" s="52" t="n">
        <x:v>8</x:v>
      </x:c>
      <x:c r="D7" s="15" t="str">
        <x:v>USD/GJ</x:v>
      </x:c>
      <x:c r="E7" s="15" t="str">
        <x:v>USD</x:v>
      </x:c>
      <x:c r="F7" s="15" t="n">
        <x:v>2025</x:v>
      </x:c>
      <x:c r="G7" s="15" t="str">
        <x:v>S29</x:v>
      </x:c>
      <x:c r="H7" s="15" t="str">
        <x:v>Demo / user assumption</x:v>
      </x:c>
      <x:c r="I7" s="15" t="str">
        <x:v>Low</x:v>
      </x:c>
      <x:c r="J7" s="15" t="str">
        <x:v>Yes</x:v>
      </x:c>
      <x:c r="K7" s="15" t="str">
        <x:v>Generic placeholder</x:v>
      </x:c>
      <x:c r="L7" s="24" t="str"/>
    </x:row>
    <x:row r="8">
      <x:c r="A8" s="23" t="str">
        <x:v>EL-004</x:v>
      </x:c>
      <x:c r="B8" s="15" t="str">
        <x:v>Water</x:v>
      </x:c>
      <x:c r="C8" s="52" t="n">
        <x:v>1.5</x:v>
      </x:c>
      <x:c r="D8" s="15" t="str">
        <x:v>USD/m3</x:v>
      </x:c>
      <x:c r="E8" s="15" t="str">
        <x:v>USD</x:v>
      </x:c>
      <x:c r="F8" s="15" t="n">
        <x:v>2025</x:v>
      </x:c>
      <x:c r="G8" s="15" t="str">
        <x:v>S29</x:v>
      </x:c>
      <x:c r="H8" s="15" t="str">
        <x:v>Demo / user assumption</x:v>
      </x:c>
      <x:c r="I8" s="15" t="str">
        <x:v>Low</x:v>
      </x:c>
      <x:c r="J8" s="15" t="str">
        <x:v>Yes</x:v>
      </x:c>
      <x:c r="K8" s="15" t="str">
        <x:v>Generic placeholder</x:v>
      </x:c>
      <x:c r="L8" s="24" t="str"/>
    </x:row>
    <x:row r="9">
      <x:c r="A9" s="23" t="str">
        <x:v>EL-005</x:v>
      </x:c>
      <x:c r="B9" s="15" t="str">
        <x:v>Wastewater</x:v>
      </x:c>
      <x:c r="C9" s="52" t="n">
        <x:v>2</x:v>
      </x:c>
      <x:c r="D9" s="15" t="str">
        <x:v>USD/m3</x:v>
      </x:c>
      <x:c r="E9" s="15" t="str">
        <x:v>USD</x:v>
      </x:c>
      <x:c r="F9" s="15" t="n">
        <x:v>2025</x:v>
      </x:c>
      <x:c r="G9" s="15" t="str">
        <x:v>S29</x:v>
      </x:c>
      <x:c r="H9" s="15" t="str">
        <x:v>Demo / user assumption</x:v>
      </x:c>
      <x:c r="I9" s="15" t="str">
        <x:v>Low</x:v>
      </x:c>
      <x:c r="J9" s="15" t="str">
        <x:v>Yes</x:v>
      </x:c>
      <x:c r="K9" s="15" t="str">
        <x:v>Generic placeholder</x:v>
      </x:c>
      <x:c r="L9" s="24" t="str"/>
    </x:row>
    <x:row r="10">
      <x:c r="A10" s="23" t="str">
        <x:v>EL-006</x:v>
      </x:c>
      <x:c r="B10" s="15" t="str">
        <x:v>Solid waste</x:v>
      </x:c>
      <x:c r="C10" s="52" t="n">
        <x:v>70</x:v>
      </x:c>
      <x:c r="D10" s="15" t="str">
        <x:v>USD/ton</x:v>
      </x:c>
      <x:c r="E10" s="15" t="str">
        <x:v>USD</x:v>
      </x:c>
      <x:c r="F10" s="15" t="n">
        <x:v>2025</x:v>
      </x:c>
      <x:c r="G10" s="15" t="str">
        <x:v>S29</x:v>
      </x:c>
      <x:c r="H10" s="15" t="str">
        <x:v>Demo / user assumption</x:v>
      </x:c>
      <x:c r="I10" s="15" t="str">
        <x:v>Low</x:v>
      </x:c>
      <x:c r="J10" s="15" t="str">
        <x:v>Yes</x:v>
      </x:c>
      <x:c r="K10" s="15" t="str">
        <x:v>Generic placeholder</x:v>
      </x:c>
      <x:c r="L10" s="24" t="str"/>
    </x:row>
    <x:row r="11">
      <x:c r="A11" s="23" t="str">
        <x:v>EL-007</x:v>
      </x:c>
      <x:c r="B11" s="15" t="str">
        <x:v>Catalyst</x:v>
      </x:c>
      <x:c r="C11" s="52" t="n">
        <x:v>10</x:v>
      </x:c>
      <x:c r="D11" s="15" t="str">
        <x:v>USD/kg</x:v>
      </x:c>
      <x:c r="E11" s="15" t="str">
        <x:v>USD</x:v>
      </x:c>
      <x:c r="F11" s="15" t="n">
        <x:v>2025</x:v>
      </x:c>
      <x:c r="G11" s="15" t="str">
        <x:v>S29</x:v>
      </x:c>
      <x:c r="H11" s="15" t="str">
        <x:v>Demo / user assumption</x:v>
      </x:c>
      <x:c r="I11" s="15" t="str">
        <x:v>Low</x:v>
      </x:c>
      <x:c r="J11" s="15" t="str">
        <x:v>Yes</x:v>
      </x:c>
      <x:c r="K11" s="15" t="str">
        <x:v>Generic placeholder</x:v>
      </x:c>
      <x:c r="L11" s="24" t="str"/>
    </x:row>
    <x:row r="12">
      <x:c r="A12" s="23" t="str">
        <x:v>EL-008</x:v>
      </x:c>
      <x:c r="B12" s="15" t="str">
        <x:v>Labor</x:v>
      </x:c>
      <x:c r="C12" s="52" t="n">
        <x:v>20000</x:v>
      </x:c>
      <x:c r="D12" s="15" t="str">
        <x:v>USD/year</x:v>
      </x:c>
      <x:c r="E12" s="15" t="str">
        <x:v>USD</x:v>
      </x:c>
      <x:c r="F12" s="15" t="n">
        <x:v>2025</x:v>
      </x:c>
      <x:c r="G12" s="15" t="str">
        <x:v>S29</x:v>
      </x:c>
      <x:c r="H12" s="15" t="str">
        <x:v>Demo / user assumption</x:v>
      </x:c>
      <x:c r="I12" s="15" t="str">
        <x:v>Low</x:v>
      </x:c>
      <x:c r="J12" s="15" t="str">
        <x:v>Yes</x:v>
      </x:c>
      <x:c r="K12" s="15" t="str">
        <x:v>Generic placeholder</x:v>
      </x:c>
      <x:c r="L12" s="24" t="str"/>
    </x:row>
    <x:row r="13">
      <x:c r="A13" s="23" t="str">
        <x:v>EL-009</x:v>
      </x:c>
      <x:c r="B13" s="15" t="str">
        <x:v>Maintenance factor</x:v>
      </x:c>
      <x:c r="C13" s="52" t="n">
        <x:v>0.04</x:v>
      </x:c>
      <x:c r="D13" s="15" t="str">
        <x:v>fraction</x:v>
      </x:c>
      <x:c r="E13" s="15" t="str">
        <x:v>-</x:v>
      </x:c>
      <x:c r="F13" s="15" t="n">
        <x:v>2025</x:v>
      </x:c>
      <x:c r="G13" s="15" t="str">
        <x:v>S29</x:v>
      </x:c>
      <x:c r="H13" s="15" t="str">
        <x:v>Demo / user assumption</x:v>
      </x:c>
      <x:c r="I13" s="15" t="str">
        <x:v>Low</x:v>
      </x:c>
      <x:c r="J13" s="15" t="str">
        <x:v>Yes</x:v>
      </x:c>
      <x:c r="K13" s="15" t="str"/>
      <x:c r="L13" s="24" t="str"/>
    </x:row>
    <x:row r="14">
      <x:c r="A14" s="23" t="str">
        <x:v>EL-010</x:v>
      </x:c>
      <x:c r="B14" s="15" t="str">
        <x:v>Insurance/local tax</x:v>
      </x:c>
      <x:c r="C14" s="52" t="n">
        <x:v>0.02</x:v>
      </x:c>
      <x:c r="D14" s="15" t="str">
        <x:v>fraction</x:v>
      </x:c>
      <x:c r="E14" s="15" t="str">
        <x:v>-</x:v>
      </x:c>
      <x:c r="F14" s="15" t="n">
        <x:v>2025</x:v>
      </x:c>
      <x:c r="G14" s="15" t="str">
        <x:v>S29</x:v>
      </x:c>
      <x:c r="H14" s="15" t="str">
        <x:v>Demo / user assumption</x:v>
      </x:c>
      <x:c r="I14" s="15" t="str">
        <x:v>Low</x:v>
      </x:c>
      <x:c r="J14" s="15" t="str">
        <x:v>Yes</x:v>
      </x:c>
      <x:c r="K14" s="15" t="str"/>
      <x:c r="L14" s="24" t="str"/>
    </x:row>
    <x:row r="15">
      <x:c r="A15" s="23" t="str">
        <x:v>EL-011</x:v>
      </x:c>
      <x:c r="B15" s="15" t="str">
        <x:v>G&amp;A</x:v>
      </x:c>
      <x:c r="C15" s="52" t="n">
        <x:v>0.2</x:v>
      </x:c>
      <x:c r="D15" s="15" t="str">
        <x:v>fraction</x:v>
      </x:c>
      <x:c r="E15" s="15" t="str">
        <x:v>-</x:v>
      </x:c>
      <x:c r="F15" s="15" t="n">
        <x:v>2025</x:v>
      </x:c>
      <x:c r="G15" s="15" t="str">
        <x:v>S29</x:v>
      </x:c>
      <x:c r="H15" s="15" t="str">
        <x:v>Demo / user assumption</x:v>
      </x:c>
      <x:c r="I15" s="15" t="str">
        <x:v>Low</x:v>
      </x:c>
      <x:c r="J15" s="15" t="str">
        <x:v>Yes</x:v>
      </x:c>
      <x:c r="K15" s="15" t="str"/>
      <x:c r="L15" s="24" t="str"/>
    </x:row>
    <x:row r="16">
      <x:c r="A16" s="23" t="str">
        <x:v>EL-012</x:v>
      </x:c>
      <x:c r="B16" s="15" t="str">
        <x:v>Syngas</x:v>
      </x:c>
      <x:c r="C16" s="52" t="n">
        <x:v>0.75</x:v>
      </x:c>
      <x:c r="D16" s="15" t="str">
        <x:v>USD/Nm3</x:v>
      </x:c>
      <x:c r="E16" s="15" t="str">
        <x:v>USD</x:v>
      </x:c>
      <x:c r="F16" s="15" t="n">
        <x:v>2025</x:v>
      </x:c>
      <x:c r="G16" s="15" t="str">
        <x:v>S29</x:v>
      </x:c>
      <x:c r="H16" s="15" t="str">
        <x:v>Demo / user assumption</x:v>
      </x:c>
      <x:c r="I16" s="15" t="str">
        <x:v>Low</x:v>
      </x:c>
      <x:c r="J16" s="15" t="str">
        <x:v>Yes</x:v>
      </x:c>
      <x:c r="K16" s="15" t="str"/>
      <x:c r="L16" s="24" t="str"/>
    </x:row>
    <x:row r="17">
      <x:c r="A17" s="23" t="str">
        <x:v>EL-013</x:v>
      </x:c>
      <x:c r="B17" s="15" t="str">
        <x:v>Byproduct annual credit</x:v>
      </x:c>
      <x:c r="C17" s="52" t="n">
        <x:v>5000</x:v>
      </x:c>
      <x:c r="D17" s="15" t="str">
        <x:v>USD/year</x:v>
      </x:c>
      <x:c r="E17" s="15" t="str">
        <x:v>USD</x:v>
      </x:c>
      <x:c r="F17" s="15" t="n">
        <x:v>2025</x:v>
      </x:c>
      <x:c r="G17" s="15" t="str">
        <x:v>S29</x:v>
      </x:c>
      <x:c r="H17" s="15" t="str">
        <x:v>Demo / user assumption</x:v>
      </x:c>
      <x:c r="I17" s="15" t="str">
        <x:v>Low</x:v>
      </x:c>
      <x:c r="J17" s="15" t="str">
        <x:v>Yes</x:v>
      </x:c>
      <x:c r="K17" s="15" t="str"/>
      <x:c r="L17" s="24" t="str"/>
    </x:row>
    <x:row r="18">
      <x:c r="A18" s="23" t="str">
        <x:v>EL-014</x:v>
      </x:c>
      <x:c r="B18" s="15" t="str">
        <x:v>Discount rate</x:v>
      </x:c>
      <x:c r="C18" s="52" t="n">
        <x:v>0.08</x:v>
      </x:c>
      <x:c r="D18" s="15" t="str">
        <x:v>fraction</x:v>
      </x:c>
      <x:c r="E18" s="15" t="str">
        <x:v>-</x:v>
      </x:c>
      <x:c r="F18" s="15" t="n">
        <x:v>2025</x:v>
      </x:c>
      <x:c r="G18" s="15" t="str">
        <x:v>S29</x:v>
      </x:c>
      <x:c r="H18" s="15" t="str">
        <x:v>Demo / user assumption</x:v>
      </x:c>
      <x:c r="I18" s="15" t="str">
        <x:v>Low</x:v>
      </x:c>
      <x:c r="J18" s="15" t="str">
        <x:v>Yes</x:v>
      </x:c>
      <x:c r="K18" s="15" t="str"/>
      <x:c r="L18" s="24" t="str"/>
    </x:row>
    <x:row r="19">
      <x:c r="A19" s="23" t="str">
        <x:v>EL-015</x:v>
      </x:c>
      <x:c r="B19" s="15" t="str">
        <x:v>Tax rate</x:v>
      </x:c>
      <x:c r="C19" s="52" t="n">
        <x:v>0.257</x:v>
      </x:c>
      <x:c r="D19" s="15" t="str">
        <x:v>fraction</x:v>
      </x:c>
      <x:c r="E19" s="15" t="str">
        <x:v>-</x:v>
      </x:c>
      <x:c r="F19" s="15" t="n">
        <x:v>2025</x:v>
      </x:c>
      <x:c r="G19" s="15" t="str">
        <x:v>S29</x:v>
      </x:c>
      <x:c r="H19" s="15" t="str">
        <x:v>Demo / user assumption</x:v>
      </x:c>
      <x:c r="I19" s="15" t="str">
        <x:v>Low</x:v>
      </x:c>
      <x:c r="J19" s="15" t="str">
        <x:v>Yes</x:v>
      </x:c>
      <x:c r="K19" s="15" t="str"/>
      <x:c r="L19" s="24" t="str"/>
    </x:row>
    <x:row r="20">
      <x:c r="A20" s="23" t="str">
        <x:v>EL-016</x:v>
      </x:c>
      <x:c r="B20" s="15" t="str">
        <x:v>Depreciation method</x:v>
      </x:c>
      <x:c r="C20" s="52" t="str">
        <x:v>Straight-line</x:v>
      </x:c>
      <x:c r="D20" s="15" t="str">
        <x:v>method</x:v>
      </x:c>
      <x:c r="E20" s="15" t="str">
        <x:v>-</x:v>
      </x:c>
      <x:c r="F20" s="15" t="n">
        <x:v>2025</x:v>
      </x:c>
      <x:c r="G20" s="15" t="str">
        <x:v>S29</x:v>
      </x:c>
      <x:c r="H20" s="15" t="str">
        <x:v>Demo / user assumption</x:v>
      </x:c>
      <x:c r="I20" s="15" t="str">
        <x:v>Low</x:v>
      </x:c>
      <x:c r="J20" s="15" t="str">
        <x:v>Yes</x:v>
      </x:c>
      <x:c r="K20" s="15" t="str"/>
      <x:c r="L20" s="24" t="str"/>
    </x:row>
    <x:row r="21">
      <x:c r="A21" s="23" t="str">
        <x:v>EL-017</x:v>
      </x:c>
      <x:c r="B21" s="15" t="str">
        <x:v>Depreciation period</x:v>
      </x:c>
      <x:c r="C21" s="52" t="n">
        <x:v>10</x:v>
      </x:c>
      <x:c r="D21" s="15" t="str">
        <x:v>years</x:v>
      </x:c>
      <x:c r="E21" s="15" t="str">
        <x:v>-</x:v>
      </x:c>
      <x:c r="F21" s="15" t="n">
        <x:v>2025</x:v>
      </x:c>
      <x:c r="G21" s="15" t="str">
        <x:v>S29</x:v>
      </x:c>
      <x:c r="H21" s="15" t="str">
        <x:v>Demo / user assumption</x:v>
      </x:c>
      <x:c r="I21" s="15" t="str">
        <x:v>Low</x:v>
      </x:c>
      <x:c r="J21" s="15" t="str">
        <x:v>Yes</x:v>
      </x:c>
      <x:c r="K21" s="15" t="str"/>
      <x:c r="L21" s="24" t="str"/>
    </x:row>
    <x:row r="22">
      <x:c r="A22" s="23" t="str">
        <x:v>EL-018</x:v>
      </x:c>
      <x:c r="B22" s="15" t="str">
        <x:v>Working capital</x:v>
      </x:c>
      <x:c r="C22" s="52" t="n">
        <x:v>0.05</x:v>
      </x:c>
      <x:c r="D22" s="15" t="str">
        <x:v>fraction</x:v>
      </x:c>
      <x:c r="E22" s="15" t="str">
        <x:v>-</x:v>
      </x:c>
      <x:c r="F22" s="15" t="n">
        <x:v>2025</x:v>
      </x:c>
      <x:c r="G22" s="15" t="str">
        <x:v>S29</x:v>
      </x:c>
      <x:c r="H22" s="15" t="str">
        <x:v>Demo / user assumption</x:v>
      </x:c>
      <x:c r="I22" s="15" t="str">
        <x:v>Low</x:v>
      </x:c>
      <x:c r="J22" s="15" t="str">
        <x:v>Yes</x:v>
      </x:c>
      <x:c r="K22" s="15" t="str"/>
      <x:c r="L22" s="24" t="str"/>
    </x:row>
    <x:row r="23">
      <x:c r="A23" s="23" t="str">
        <x:v>EL-019</x:v>
      </x:c>
      <x:c r="B23" s="15" t="str">
        <x:v>Startup factor</x:v>
      </x:c>
      <x:c r="C23" s="52" t="n">
        <x:v>0.02</x:v>
      </x:c>
      <x:c r="D23" s="15" t="str">
        <x:v>fraction</x:v>
      </x:c>
      <x:c r="E23" s="15" t="str">
        <x:v>-</x:v>
      </x:c>
      <x:c r="F23" s="15" t="n">
        <x:v>2025</x:v>
      </x:c>
      <x:c r="G23" s="15" t="str">
        <x:v>S29</x:v>
      </x:c>
      <x:c r="H23" s="15" t="str">
        <x:v>Demo / user assumption</x:v>
      </x:c>
      <x:c r="I23" s="15" t="str">
        <x:v>Low</x:v>
      </x:c>
      <x:c r="J23" s="15" t="str">
        <x:v>Yes</x:v>
      </x:c>
      <x:c r="K23" s="15" t="str"/>
      <x:c r="L23" s="24" t="str"/>
    </x:row>
    <x:row r="24">
      <x:c r="A24" s="23" t="str">
        <x:v>EL-020</x:v>
      </x:c>
      <x:c r="B24" s="15" t="str">
        <x:v>Salvage</x:v>
      </x:c>
      <x:c r="C24" s="52" t="n">
        <x:v>0</x:v>
      </x:c>
      <x:c r="D24" s="15" t="str">
        <x:v>fraction</x:v>
      </x:c>
      <x:c r="E24" s="15" t="str">
        <x:v>-</x:v>
      </x:c>
      <x:c r="F24" s="15" t="n">
        <x:v>2025</x:v>
      </x:c>
      <x:c r="G24" s="15" t="str">
        <x:v>S29</x:v>
      </x:c>
      <x:c r="H24" s="15" t="str">
        <x:v>Demo / user assumption</x:v>
      </x:c>
      <x:c r="I24" s="15" t="str">
        <x:v>Low</x:v>
      </x:c>
      <x:c r="J24" s="15" t="str">
        <x:v>Yes</x:v>
      </x:c>
      <x:c r="K24" s="15" t="str"/>
      <x:c r="L24" s="24" t="str"/>
    </x:row>
    <x:row r="25">
      <x:c r="A25" s="23" t="str">
        <x:v>EL-021</x:v>
      </x:c>
      <x:c r="B25" s="15" t="str">
        <x:v>Inflation</x:v>
      </x:c>
      <x:c r="C25" s="52" t="n">
        <x:v>0.019</x:v>
      </x:c>
      <x:c r="D25" s="15" t="str">
        <x:v>fraction</x:v>
      </x:c>
      <x:c r="E25" s="15" t="str">
        <x:v>-</x:v>
      </x:c>
      <x:c r="F25" s="15" t="n">
        <x:v>2025</x:v>
      </x:c>
      <x:c r="G25" s="15" t="str">
        <x:v>S29</x:v>
      </x:c>
      <x:c r="H25" s="15" t="str">
        <x:v>Demo / user assumption</x:v>
      </x:c>
      <x:c r="I25" s="15" t="str">
        <x:v>Low</x:v>
      </x:c>
      <x:c r="J25" s="15" t="str">
        <x:v>No</x:v>
      </x:c>
      <x:c r="K25" s="15" t="str">
        <x:v>Not automatically escalated.</x:v>
      </x:c>
      <x:c r="L25" s="24" t="str"/>
    </x:row>
    <x:row r="26">
      <x:c r="A26" s="23" t="str">
        <x:v>EL-022</x:v>
      </x:c>
      <x:c r="B26" s="15" t="str">
        <x:v>Engineering/indirect</x:v>
      </x:c>
      <x:c r="C26" s="52" t="n">
        <x:v>0.2</x:v>
      </x:c>
      <x:c r="D26" s="15" t="str">
        <x:v>fraction</x:v>
      </x:c>
      <x:c r="E26" s="15" t="str">
        <x:v>-</x:v>
      </x:c>
      <x:c r="F26" s="15" t="n">
        <x:v>2025</x:v>
      </x:c>
      <x:c r="G26" s="15" t="str">
        <x:v>S29</x:v>
      </x:c>
      <x:c r="H26" s="15" t="str">
        <x:v>Demo / user assumption</x:v>
      </x:c>
      <x:c r="I26" s="15" t="str">
        <x:v>Low</x:v>
      </x:c>
      <x:c r="J26" s="15" t="str">
        <x:v>Yes</x:v>
      </x:c>
      <x:c r="K26" s="15" t="str"/>
      <x:c r="L26" s="24" t="str"/>
    </x:row>
    <x:row r="27">
      <x:c r="A27" s="23" t="str">
        <x:v>EL-023</x:v>
      </x:c>
      <x:c r="B27" s="15" t="str">
        <x:v>Project contingency</x:v>
      </x:c>
      <x:c r="C27" s="52" t="n">
        <x:v>0.1</x:v>
      </x:c>
      <x:c r="D27" s="15" t="str">
        <x:v>fraction</x:v>
      </x:c>
      <x:c r="E27" s="15" t="str">
        <x:v>-</x:v>
      </x:c>
      <x:c r="F27" s="15" t="n">
        <x:v>2025</x:v>
      </x:c>
      <x:c r="G27" s="15" t="str">
        <x:v>S29</x:v>
      </x:c>
      <x:c r="H27" s="15" t="str">
        <x:v>Demo / user assumption</x:v>
      </x:c>
      <x:c r="I27" s="15" t="str">
        <x:v>Low</x:v>
      </x:c>
      <x:c r="J27" s="15" t="str">
        <x:v>Yes</x:v>
      </x:c>
      <x:c r="K27" s="15" t="str"/>
      <x:c r="L27" s="24" t="str"/>
    </x:row>
    <x:row r="28">
      <x:c r="A28" s="23" t="str">
        <x:v>EL-024</x:v>
      </x:c>
      <x:c r="B28" s="15" t="str">
        <x:v>Process contingency</x:v>
      </x:c>
      <x:c r="C28" s="52" t="n">
        <x:v>0.05</x:v>
      </x:c>
      <x:c r="D28" s="15" t="str">
        <x:v>fraction</x:v>
      </x:c>
      <x:c r="E28" s="15" t="str">
        <x:v>-</x:v>
      </x:c>
      <x:c r="F28" s="15" t="n">
        <x:v>2025</x:v>
      </x:c>
      <x:c r="G28" s="15" t="str">
        <x:v>S29</x:v>
      </x:c>
      <x:c r="H28" s="15" t="str">
        <x:v>Demo / user assumption</x:v>
      </x:c>
      <x:c r="I28" s="15" t="str">
        <x:v>Low</x:v>
      </x:c>
      <x:c r="J28" s="15" t="str">
        <x:v>Yes</x:v>
      </x:c>
      <x:c r="K28" s="15" t="str"/>
      <x:c r="L28" s="24" t="str"/>
    </x:row>
    <x:row r="29">
      <x:c r="A29" s="56" t="str">
        <x:v>EL-025</x:v>
      </x:c>
      <x:c r="B29" s="27" t="str">
        <x:v>Land</x:v>
      </x:c>
      <x:c r="C29" s="57" t="n">
        <x:v>0</x:v>
      </x:c>
      <x:c r="D29" s="27" t="str">
        <x:v>USD</x:v>
      </x:c>
      <x:c r="E29" s="27" t="str">
        <x:v>USD</x:v>
      </x:c>
      <x:c r="F29" s="27" t="n">
        <x:v>2025</x:v>
      </x:c>
      <x:c r="G29" s="27" t="str">
        <x:v>S29</x:v>
      </x:c>
      <x:c r="H29" s="27" t="str">
        <x:v>Demo / user assumption</x:v>
      </x:c>
      <x:c r="I29" s="27" t="str">
        <x:v>Low</x:v>
      </x:c>
      <x:c r="J29" s="27" t="str">
        <x:v>Yes</x:v>
      </x:c>
      <x:c r="K29" s="27" t="str"/>
      <x:c r="L29" s="28" t="str"/>
    </x:row>
  </x:sheetData>
  <x:mergeCells>
    <x:mergeCell ref="A1:L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  <x:col min="6" max="6" width="12" hidden="0" customWidth="1"/>
    <x:col min="7" max="7" width="15" hidden="0" customWidth="1"/>
    <x:col min="8" max="8" width="18" hidden="0" customWidth="1"/>
    <x:col min="9" max="9" width="18" hidden="0" customWidth="1"/>
    <x:col min="10" max="10" width="14" hidden="0" customWidth="1"/>
    <x:col min="11" max="11" width="50" hidden="0" customWidth="1"/>
    <x:col min="12" max="12" width="60" hidden="0" customWidth="1"/>
  </x:cols>
  <x:sheetData>
    <x:row r="1" ht="28" customHeight="1">
      <x:c r="A1" s="20" t="str">
        <x:v>Equipment Cost Library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2"/>
    </x:row>
    <x:row r="2">
      <x:c r="A2" s="23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24"/>
    </x:row>
    <x:row r="3">
      <x:c r="A3" s="23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24"/>
    </x:row>
    <x:row r="4">
      <x:c r="A4" s="54" t="str">
        <x:v>Library ID</x:v>
      </x:c>
      <x:c r="B4" s="41" t="str">
        <x:v>Equipment Type</x:v>
      </x:c>
      <x:c r="C4" s="41" t="str">
        <x:v>Base Capacity</x:v>
      </x:c>
      <x:c r="D4" s="41" t="str">
        <x:v>Capacity Unit</x:v>
      </x:c>
      <x:c r="E4" s="41" t="str">
        <x:v>Base Cost</x:v>
      </x:c>
      <x:c r="F4" s="41" t="str">
        <x:v>Currency</x:v>
      </x:c>
      <x:c r="G4" s="41" t="str">
        <x:v>Reference Year</x:v>
      </x:c>
      <x:c r="H4" s="41" t="str">
        <x:v>Scaling Exponent</x:v>
      </x:c>
      <x:c r="I4" s="41" t="str">
        <x:v>Installation Factor</x:v>
      </x:c>
      <x:c r="J4" s="41" t="str">
        <x:v>Source ID</x:v>
      </x:c>
      <x:c r="K4" s="41" t="str">
        <x:v>Notes</x:v>
      </x:c>
      <x:c r="L4" s="55" t="str">
        <x:v>Source URL</x:v>
      </x:c>
    </x:row>
    <x:row r="5">
      <x:c r="A5" s="23" t="str">
        <x:v>ECL-001</x:v>
      </x:c>
      <x:c r="B5" s="15" t="str">
        <x:v>Reactor / Gasifier</x:v>
      </x:c>
      <x:c r="C5" s="52" t="n">
        <x:v>10</x:v>
      </x:c>
      <x:c r="D5" s="52" t="str">
        <x:v>kg/h</x:v>
      </x:c>
      <x:c r="E5" s="52" t="n">
        <x:v>80000</x:v>
      </x:c>
      <x:c r="F5" s="52" t="str">
        <x:v>USD</x:v>
      </x:c>
      <x:c r="G5" s="52" t="n">
        <x:v>2025</x:v>
      </x:c>
      <x:c r="H5" s="52" t="n">
        <x:v>0.6</x:v>
      </x:c>
      <x:c r="I5" s="52" t="n">
        <x:v>1.8</x:v>
      </x:c>
      <x:c r="J5" s="52" t="str">
        <x:v>S29</x:v>
      </x:c>
      <x:c r="K5" s="15" t="str">
        <x:v>Synthetic demo reference.</x:v>
      </x:c>
      <x:c r="L5" s="24" t="str"/>
    </x:row>
    <x:row r="6">
      <x:c r="A6" s="23" t="str">
        <x:v>ECL-002</x:v>
      </x:c>
      <x:c r="B6" s="15" t="str">
        <x:v>Dryer</x:v>
      </x:c>
      <x:c r="C6" s="52" t="n">
        <x:v>10</x:v>
      </x:c>
      <x:c r="D6" s="52" t="str">
        <x:v>kg/h</x:v>
      </x:c>
      <x:c r="E6" s="52" t="n">
        <x:v>30000</x:v>
      </x:c>
      <x:c r="F6" s="52" t="str">
        <x:v>USD</x:v>
      </x:c>
      <x:c r="G6" s="52" t="n">
        <x:v>2025</x:v>
      </x:c>
      <x:c r="H6" s="52" t="n">
        <x:v>0.6</x:v>
      </x:c>
      <x:c r="I6" s="52" t="n">
        <x:v>1.6</x:v>
      </x:c>
      <x:c r="J6" s="52" t="str">
        <x:v>S29</x:v>
      </x:c>
      <x:c r="K6" s="15" t="str">
        <x:v>Synthetic demo reference.</x:v>
      </x:c>
      <x:c r="L6" s="24" t="str"/>
    </x:row>
    <x:row r="7">
      <x:c r="A7" s="23" t="str">
        <x:v>ECL-003</x:v>
      </x:c>
      <x:c r="B7" s="15" t="str">
        <x:v>Gas-solid separator</x:v>
      </x:c>
      <x:c r="C7" s="52" t="n">
        <x:v>15</x:v>
      </x:c>
      <x:c r="D7" s="52" t="str">
        <x:v>Nm3/h</x:v>
      </x:c>
      <x:c r="E7" s="52" t="n">
        <x:v>12000</x:v>
      </x:c>
      <x:c r="F7" s="52" t="str">
        <x:v>USD</x:v>
      </x:c>
      <x:c r="G7" s="52" t="n">
        <x:v>2025</x:v>
      </x:c>
      <x:c r="H7" s="52" t="n">
        <x:v>0.6</x:v>
      </x:c>
      <x:c r="I7" s="52" t="n">
        <x:v>1.5</x:v>
      </x:c>
      <x:c r="J7" s="52" t="str">
        <x:v>S29</x:v>
      </x:c>
      <x:c r="K7" s="15" t="str">
        <x:v>Synthetic demo reference.</x:v>
      </x:c>
      <x:c r="L7" s="24" t="str"/>
    </x:row>
    <x:row r="8">
      <x:c r="A8" s="23" t="str">
        <x:v>ECL-004</x:v>
      </x:c>
      <x:c r="B8" s="15" t="str">
        <x:v>Heat exchanger</x:v>
      </x:c>
      <x:c r="C8" s="52" t="n">
        <x:v>25</x:v>
      </x:c>
      <x:c r="D8" s="52" t="str">
        <x:v>kW</x:v>
      </x:c>
      <x:c r="E8" s="52" t="n">
        <x:v>20000</x:v>
      </x:c>
      <x:c r="F8" s="52" t="str">
        <x:v>USD</x:v>
      </x:c>
      <x:c r="G8" s="52" t="n">
        <x:v>2025</x:v>
      </x:c>
      <x:c r="H8" s="52" t="n">
        <x:v>0.6</x:v>
      </x:c>
      <x:c r="I8" s="52" t="n">
        <x:v>1.7</x:v>
      </x:c>
      <x:c r="J8" s="52" t="str">
        <x:v>S29</x:v>
      </x:c>
      <x:c r="K8" s="15" t="str">
        <x:v>Synthetic demo reference.</x:v>
      </x:c>
      <x:c r="L8" s="24" t="str"/>
    </x:row>
    <x:row r="9">
      <x:c r="A9" s="56" t="str">
        <x:v>ECL-005</x:v>
      </x:c>
      <x:c r="B9" s="27" t="str">
        <x:v>Blower / compressor</x:v>
      </x:c>
      <x:c r="C9" s="57" t="n">
        <x:v>20</x:v>
      </x:c>
      <x:c r="D9" s="57" t="str">
        <x:v>Nm3/h</x:v>
      </x:c>
      <x:c r="E9" s="57" t="n">
        <x:v>10000</x:v>
      </x:c>
      <x:c r="F9" s="57" t="str">
        <x:v>USD</x:v>
      </x:c>
      <x:c r="G9" s="57" t="n">
        <x:v>2025</x:v>
      </x:c>
      <x:c r="H9" s="57" t="n">
        <x:v>0.6</x:v>
      </x:c>
      <x:c r="I9" s="57" t="n">
        <x:v>1.5</x:v>
      </x:c>
      <x:c r="J9" s="57" t="str">
        <x:v>S29</x:v>
      </x:c>
      <x:c r="K9" s="27" t="str">
        <x:v>Synthetic demo reference.</x:v>
      </x:c>
      <x:c r="L9" s="28" t="str"/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24" hidden="0" customWidth="1"/>
    <x:col min="6" max="6" width="16" hidden="0" customWidth="1"/>
    <x:col min="7" max="7" width="16" hidden="0" customWidth="1"/>
    <x:col min="8" max="8" width="48" hidden="0" customWidth="1"/>
  </x:cols>
  <x:sheetData>
    <x:row r="1" ht="28" customHeight="1">
      <x:c r="A1" s="20" t="str">
        <x:v>Decision Analysis Settings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15"/>
      <x:c r="C2" s="15"/>
      <x:c r="D2" s="15"/>
      <x:c r="E2" s="15"/>
      <x:c r="F2" s="15"/>
      <x:c r="G2" s="15"/>
      <x:c r="H2" s="24"/>
    </x:row>
    <x:row r="3">
      <x:c r="A3" s="86" t="str">
        <x:v>A. Sensitivity screening</x:v>
      </x:c>
      <x:c r="B3" s="84"/>
      <x:c r="C3" s="84"/>
      <x:c r="D3" s="84"/>
      <x:c r="E3" s="84"/>
      <x:c r="F3" s="84"/>
      <x:c r="G3" s="84"/>
      <x:c r="H3" s="87"/>
    </x:row>
    <x:row r="4">
      <x:c r="A4" s="54" t="str">
        <x:v>Parameter</x:v>
      </x:c>
      <x:c r="B4" s="41" t="str">
        <x:v>Category</x:v>
      </x:c>
      <x:c r="C4" s="41" t="str">
        <x:v>Low Factor</x:v>
      </x:c>
      <x:c r="D4" s="41" t="str">
        <x:v>High Factor</x:v>
      </x:c>
      <x:c r="E4" s="41" t="str">
        <x:v>Analyze?</x:v>
      </x:c>
      <x:c r="F4" s="41" t="str">
        <x:v>Priority Output</x:v>
      </x:c>
      <x:c r="G4" s="41" t="str">
        <x:v>Unit / Meaning</x:v>
      </x:c>
      <x:c r="H4" s="55" t="str">
        <x:v>Notes</x:v>
      </x:c>
    </x:row>
    <x:row r="5">
      <x:c r="A5" s="23" t="str">
        <x:v>Electricity price</x:v>
      </x:c>
      <x:c r="B5" s="15" t="str">
        <x:v>Economic</x:v>
      </x:c>
      <x:c r="C5" s="15" t="n">
        <x:v>0.20408163265306123</x:v>
      </x:c>
      <x:c r="D5" s="15" t="n">
        <x:v>1.6326530612244898</x:v>
      </x:c>
      <x:c r="E5" s="15" t="str">
        <x:v>Yes</x:v>
      </x:c>
      <x:c r="F5" s="15" t="str"/>
      <x:c r="G5" s="15" t="str">
        <x:v>factor</x:v>
      </x:c>
      <x:c r="H5" s="24" t="str">
        <x:v>DOE sensitivity range.</x:v>
      </x:c>
    </x:row>
    <x:row r="6">
      <x:c r="A6" s="23" t="str">
        <x:v>Stack electrical usage</x:v>
      </x:c>
      <x:c r="B6" s="15" t="str">
        <x:v>Technical</x:v>
      </x:c>
      <x:c r="C6" s="15" t="n">
        <x:v>0.7996031746031745</x:v>
      </x:c>
      <x:c r="D6" s="15" t="n">
        <x:v>1.2003968253968254</x:v>
      </x:c>
      <x:c r="E6" s="15" t="str">
        <x:v>Yes</x:v>
      </x:c>
      <x:c r="F6" s="15" t="str"/>
      <x:c r="G6" s="15" t="str">
        <x:v>factor</x:v>
      </x:c>
      <x:c r="H6" s="24" t="str">
        <x:v>DOE sensitivity range.</x:v>
      </x:c>
    </x:row>
    <x:row r="7">
      <x:c r="A7" s="23" t="str">
        <x:v>Stack cost</x:v>
      </x:c>
      <x:c r="B7" s="15" t="str">
        <x:v>Economic</x:v>
      </x:c>
      <x:c r="C7" s="15" t="n">
        <x:v>0.7690058479532164</x:v>
      </x:c>
      <x:c r="D7" s="15" t="n">
        <x:v>1.6929824561403508</x:v>
      </x:c>
      <x:c r="E7" s="15" t="str">
        <x:v>Yes</x:v>
      </x:c>
      <x:c r="F7" s="15" t="str"/>
      <x:c r="G7" s="15" t="str">
        <x:v>factor</x:v>
      </x:c>
      <x:c r="H7" s="24" t="str">
        <x:v>DOE sensitivity range.</x:v>
      </x:c>
    </x:row>
    <x:row r="8">
      <x:c r="A8" s="23" t="str">
        <x:v>Stack replacement cost</x:v>
      </x:c>
      <x:c r="B8" s="15" t="str">
        <x:v>Economic</x:v>
      </x:c>
      <x:c r="C8" s="15" t="n">
        <x:v>0.6666666666666667</x:v>
      </x:c>
      <x:c r="D8" s="15" t="n">
        <x:v>5</x:v>
      </x:c>
      <x:c r="E8" s="15" t="str">
        <x:v>Yes</x:v>
      </x:c>
      <x:c r="F8" s="15" t="str"/>
      <x:c r="G8" s="15" t="str">
        <x:v>factor</x:v>
      </x:c>
      <x:c r="H8" s="24" t="str">
        <x:v>DOE sensitivity range.</x:v>
      </x:c>
    </x:row>
    <x:row r="9">
      <x:c r="A9" s="23" t="str">
        <x:v>Capacity factor</x:v>
      </x:c>
      <x:c r="B9" s="15" t="str">
        <x:v>Technical</x:v>
      </x:c>
      <x:c r="C9" s="15" t="n">
        <x:v>1.0103092783505154</x:v>
      </x:c>
      <x:c r="D9" s="15" t="n">
        <x:v>0.4123711340206186</x:v>
      </x:c>
      <x:c r="E9" s="15" t="str">
        <x:v>Yes</x:v>
      </x:c>
      <x:c r="F9" s="15" t="str"/>
      <x:c r="G9" s="15" t="str">
        <x:v>factor</x:v>
      </x:c>
      <x:c r="H9" s="24" t="str">
        <x:v>DOE sensitivity range.</x:v>
      </x:c>
    </x:row>
    <x:row r="10">
      <x:c r="A10" s="23" t="str">
        <x:v>Stack replacement interval</x:v>
      </x:c>
      <x:c r="B10" s="15" t="str">
        <x:v>Technical</x:v>
      </x:c>
      <x:c r="C10" s="15" t="n">
        <x:v>1.5714285714285714</x:v>
      </x:c>
      <x:c r="D10" s="15" t="n">
        <x:v>0.42857142857142855</x:v>
      </x:c>
      <x:c r="E10" s="15" t="str">
        <x:v>Yes</x:v>
      </x:c>
      <x:c r="F10" s="15" t="str"/>
      <x:c r="G10" s="15" t="str">
        <x:v>factor</x:v>
      </x:c>
      <x:c r="H10" s="24" t="str">
        <x:v>DOE sensitivity range.</x:v>
      </x:c>
    </x:row>
    <x:row r="11">
      <x:c r="A11" s="23"/>
      <x:c r="B11" s="15"/>
      <x:c r="C11" s="15"/>
      <x:c r="D11" s="15"/>
      <x:c r="E11" s="15"/>
      <x:c r="F11" s="15"/>
      <x:c r="G11" s="15"/>
      <x:c r="H11" s="24"/>
    </x:row>
    <x:row r="12">
      <x:c r="A12" s="23"/>
      <x:c r="B12" s="15"/>
      <x:c r="C12" s="15"/>
      <x:c r="D12" s="15"/>
      <x:c r="E12" s="15"/>
      <x:c r="F12" s="15"/>
      <x:c r="G12" s="15"/>
      <x:c r="H12" s="24"/>
    </x:row>
    <x:row r="13">
      <x:c r="A13" s="86" t="str">
        <x:v>B. Scenarios</x:v>
      </x:c>
      <x:c r="B13" s="84"/>
      <x:c r="C13" s="84"/>
      <x:c r="D13" s="84"/>
      <x:c r="E13" s="84"/>
      <x:c r="F13" s="84"/>
      <x:c r="G13" s="84"/>
      <x:c r="H13" s="87"/>
    </x:row>
    <x:row r="14">
      <x:c r="A14" s="54" t="str">
        <x:v>Scenario</x:v>
      </x:c>
      <x:c r="B14" s="41" t="str">
        <x:v>Equipment CAPEX</x:v>
      </x:c>
      <x:c r="C14" s="41" t="str">
        <x:v>Material Price</x:v>
      </x:c>
      <x:c r="D14" s="41" t="str">
        <x:v>Utility Price</x:v>
      </x:c>
      <x:c r="E14" s="41" t="str">
        <x:v>Fixed OPEX</x:v>
      </x:c>
      <x:c r="F14" s="41" t="str">
        <x:v>Product Price</x:v>
      </x:c>
      <x:c r="G14" s="41" t="str">
        <x:v>Operating Hours / CF</x:v>
      </x:c>
      <x:c r="H14" s="55" t="str">
        <x:v>Product Output</x:v>
      </x:c>
    </x:row>
    <x:row r="15">
      <x:c r="A15" s="23" t="str">
        <x:v>Design</x:v>
      </x:c>
      <x:c r="B15" s="15" t="n">
        <x:v>1</x:v>
      </x:c>
      <x:c r="C15" s="15" t="n">
        <x:v>1</x:v>
      </x:c>
      <x:c r="D15" s="15" t="n">
        <x:v>1</x:v>
      </x:c>
      <x:c r="E15" s="15" t="n">
        <x:v>1</x:v>
      </x:c>
      <x:c r="F15" s="15" t="n">
        <x:v>1</x:v>
      </x:c>
      <x:c r="G15" s="15" t="n">
        <x:v>1</x:v>
      </x:c>
      <x:c r="H15" s="24" t="n">
        <x:v>1</x:v>
      </x:c>
    </x:row>
    <x:row r="16">
      <x:c r="A16" s="23" t="str">
        <x:v>Realistic</x:v>
      </x:c>
      <x:c r="B16" s="15" t="n">
        <x:v>1</x:v>
      </x:c>
      <x:c r="C16" s="15" t="n">
        <x:v>1</x:v>
      </x:c>
      <x:c r="D16" s="15" t="n">
        <x:v>1</x:v>
      </x:c>
      <x:c r="E16" s="15" t="n">
        <x:v>1.1</x:v>
      </x:c>
      <x:c r="F16" s="15" t="n">
        <x:v>1</x:v>
      </x:c>
      <x:c r="G16" s="15" t="n">
        <x:v>0.9</x:v>
      </x:c>
      <x:c r="H16" s="24" t="n">
        <x:v>0.92</x:v>
      </x:c>
    </x:row>
    <x:row r="17">
      <x:c r="A17" s="23" t="str">
        <x:v>Optimistic</x:v>
      </x:c>
      <x:c r="B17" s="15" t="n">
        <x:v>0.9</x:v>
      </x:c>
      <x:c r="C17" s="15" t="n">
        <x:v>0.9</x:v>
      </x:c>
      <x:c r="D17" s="15" t="n">
        <x:v>0.9</x:v>
      </x:c>
      <x:c r="E17" s="15" t="n">
        <x:v>0.95</x:v>
      </x:c>
      <x:c r="F17" s="15" t="n">
        <x:v>1.1</x:v>
      </x:c>
      <x:c r="G17" s="15" t="n">
        <x:v>1.05</x:v>
      </x:c>
      <x:c r="H17" s="24" t="n">
        <x:v>1.05</x:v>
      </x:c>
    </x:row>
    <x:row r="18">
      <x:c r="A18" s="23" t="str">
        <x:v>Pessimistic</x:v>
      </x:c>
      <x:c r="B18" s="15" t="n">
        <x:v>1.15</x:v>
      </x:c>
      <x:c r="C18" s="15" t="n">
        <x:v>1.15</x:v>
      </x:c>
      <x:c r="D18" s="15" t="n">
        <x:v>1.2</x:v>
      </x:c>
      <x:c r="E18" s="15" t="n">
        <x:v>1.15</x:v>
      </x:c>
      <x:c r="F18" s="15" t="n">
        <x:v>0.9</x:v>
      </x:c>
      <x:c r="G18" s="15" t="n">
        <x:v>0.85</x:v>
      </x:c>
      <x:c r="H18" s="24" t="n">
        <x:v>0.85</x:v>
      </x:c>
    </x:row>
    <x:row r="19">
      <x:c r="A19" s="23"/>
      <x:c r="B19" s="15"/>
      <x:c r="C19" s="15"/>
      <x:c r="D19" s="15"/>
      <x:c r="E19" s="15"/>
      <x:c r="F19" s="15"/>
      <x:c r="G19" s="15"/>
      <x:c r="H19" s="24"/>
    </x:row>
    <x:row r="20">
      <x:c r="A20" s="23"/>
      <x:c r="B20" s="15"/>
      <x:c r="C20" s="15"/>
      <x:c r="D20" s="15"/>
      <x:c r="E20" s="15"/>
      <x:c r="F20" s="15"/>
      <x:c r="G20" s="15"/>
      <x:c r="H20" s="24"/>
    </x:row>
    <x:row r="21">
      <x:c r="A21" s="86" t="str">
        <x:v>C. Break-even and scale</x:v>
      </x:c>
      <x:c r="B21" s="84"/>
      <x:c r="C21" s="84"/>
      <x:c r="D21" s="84"/>
      <x:c r="E21" s="84"/>
      <x:c r="F21" s="84"/>
      <x:c r="G21" s="84"/>
      <x:c r="H21" s="87"/>
    </x:row>
    <x:row r="22">
      <x:c r="A22" s="54" t="str">
        <x:v>Parameter</x:v>
      </x:c>
      <x:c r="B22" s="41" t="str">
        <x:v>Lower Bound</x:v>
      </x:c>
      <x:c r="C22" s="41" t="str">
        <x:v>Upper Bound</x:v>
      </x:c>
      <x:c r="D22" s="41" t="str">
        <x:v>Analyze?</x:v>
      </x:c>
      <x:c r="E22" s="41" t="str">
        <x:v>Meaning</x:v>
      </x:c>
      <x:c r="F22" s="41" t="str">
        <x:v>Scale Factor</x:v>
      </x:c>
      <x:c r="G22" s="41" t="str">
        <x:v>Scale Active?</x:v>
      </x:c>
      <x:c r="H22" s="55" t="str">
        <x:v>Notes</x:v>
      </x:c>
    </x:row>
    <x:row r="23">
      <x:c r="A23" s="23" t="str">
        <x:v>Equipment CAPEX</x:v>
      </x:c>
      <x:c r="B23" s="15" t="n">
        <x:v>0.2</x:v>
      </x:c>
      <x:c r="C23" s="15" t="n">
        <x:v>5</x:v>
      </x:c>
      <x:c r="D23" s="15" t="str">
        <x:v>Yes</x:v>
      </x:c>
      <x:c r="E23" s="15" t="str">
        <x:v>NPV=0 threshold</x:v>
      </x:c>
      <x:c r="F23" s="15" t="n">
        <x:v>0.5</x:v>
      </x:c>
      <x:c r="G23" s="15" t="str">
        <x:v>Yes</x:v>
      </x:c>
      <x:c r="H23" s="24" t="str"/>
    </x:row>
    <x:row r="24">
      <x:c r="A24" s="23" t="str">
        <x:v>Material prices</x:v>
      </x:c>
      <x:c r="B24" s="15" t="n">
        <x:v>0.1</x:v>
      </x:c>
      <x:c r="C24" s="15" t="n">
        <x:v>5</x:v>
      </x:c>
      <x:c r="D24" s="15" t="str">
        <x:v>Yes</x:v>
      </x:c>
      <x:c r="E24" s="15" t="str">
        <x:v>NPV=0 threshold</x:v>
      </x:c>
      <x:c r="F24" s="15" t="n">
        <x:v>1</x:v>
      </x:c>
      <x:c r="G24" s="15" t="str">
        <x:v>Yes</x:v>
      </x:c>
      <x:c r="H24" s="24" t="str"/>
    </x:row>
    <x:row r="25">
      <x:c r="A25" s="23" t="str">
        <x:v>Electricity price</x:v>
      </x:c>
      <x:c r="B25" s="15" t="n">
        <x:v>0.1</x:v>
      </x:c>
      <x:c r="C25" s="15" t="n">
        <x:v>10</x:v>
      </x:c>
      <x:c r="D25" s="15" t="str">
        <x:v>Yes</x:v>
      </x:c>
      <x:c r="E25" s="15" t="str">
        <x:v>NPV=0 threshold</x:v>
      </x:c>
      <x:c r="F25" s="15" t="n">
        <x:v>2</x:v>
      </x:c>
      <x:c r="G25" s="15" t="str">
        <x:v>Yes</x:v>
      </x:c>
      <x:c r="H25" s="24" t="str"/>
    </x:row>
    <x:row r="26">
      <x:c r="A26" s="23" t="str">
        <x:v>Operating hours</x:v>
      </x:c>
      <x:c r="B26" s="15" t="n">
        <x:v>0.1</x:v>
      </x:c>
      <x:c r="C26" s="15" t="n">
        <x:v>1.1</x:v>
      </x:c>
      <x:c r="D26" s="15" t="str">
        <x:v>Yes</x:v>
      </x:c>
      <x:c r="E26" s="15" t="str">
        <x:v>NPV=0 threshold</x:v>
      </x:c>
      <x:c r="F26" s="15" t="n">
        <x:v>5</x:v>
      </x:c>
      <x:c r="G26" s="15" t="str">
        <x:v>Yes</x:v>
      </x:c>
      <x:c r="H26" s="24" t="str"/>
    </x:row>
    <x:row r="27">
      <x:c r="A27" s="56" t="str">
        <x:v>Primary product output</x:v>
      </x:c>
      <x:c r="B27" s="27" t="n">
        <x:v>0.1</x:v>
      </x:c>
      <x:c r="C27" s="27" t="n">
        <x:v>3</x:v>
      </x:c>
      <x:c r="D27" s="27" t="str">
        <x:v>Yes</x:v>
      </x:c>
      <x:c r="E27" s="27" t="str">
        <x:v>NPV=0 threshold</x:v>
      </x:c>
      <x:c r="F27" s="27" t="str"/>
      <x:c r="G27" s="27" t="str"/>
      <x:c r="H27" s="28" t="str"/>
    </x:row>
  </x:sheetData>
  <x:mergeCells>
    <x:mergeCell ref="A1:H1"/>
    <x:mergeCell ref="A3:H3"/>
    <x:mergeCell ref="A13:H13"/>
    <x:mergeCell ref="A21:H2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4" hidden="0" customWidth="1"/>
    <x:col min="5" max="5" width="14" hidden="0" customWidth="1"/>
    <x:col min="6" max="6" width="14" hidden="0" customWidth="1"/>
    <x:col min="7" max="7" width="66" hidden="0" customWidth="1"/>
  </x:cols>
  <x:sheetData>
    <x:row r="1" ht="28" customHeight="1">
      <x:c r="A1" s="20" t="str">
        <x:v>Environmental Screening Inputs — Not Full LCA</x:v>
      </x:c>
      <x:c r="B1" s="21"/>
      <x:c r="C1" s="21"/>
      <x:c r="D1" s="21"/>
      <x:c r="E1" s="21"/>
      <x:c r="F1" s="21"/>
      <x:c r="G1" s="22"/>
    </x:row>
    <x:row r="2">
      <x:c r="A2" s="23"/>
      <x:c r="B2" s="15"/>
      <x:c r="C2" s="15"/>
      <x:c r="D2" s="15"/>
      <x:c r="E2" s="15"/>
      <x:c r="F2" s="15"/>
      <x:c r="G2" s="24"/>
    </x:row>
    <x:row r="3">
      <x:c r="A3" s="23"/>
      <x:c r="B3" s="15"/>
      <x:c r="C3" s="15"/>
      <x:c r="D3" s="15"/>
      <x:c r="E3" s="15"/>
      <x:c r="F3" s="15"/>
      <x:c r="G3" s="24"/>
    </x:row>
    <x:row r="4">
      <x:c r="A4" s="54" t="str">
        <x:v>ID</x:v>
      </x:c>
      <x:c r="B4" s="41" t="str">
        <x:v>Parameter</x:v>
      </x:c>
      <x:c r="C4" s="41" t="str">
        <x:v>Value</x:v>
      </x:c>
      <x:c r="D4" s="41" t="str">
        <x:v>Unit</x:v>
      </x:c>
      <x:c r="E4" s="41" t="str">
        <x:v>Active?</x:v>
      </x:c>
      <x:c r="F4" s="41" t="str">
        <x:v>Source ID</x:v>
      </x:c>
      <x:c r="G4" s="55" t="str">
        <x:v>Notes</x:v>
      </x:c>
    </x:row>
    <x:row r="5">
      <x:c r="A5" s="23" t="str">
        <x:v>ENV-001</x:v>
      </x:c>
      <x:c r="B5" s="15" t="str">
        <x:v>Electricity EF</x:v>
      </x:c>
      <x:c r="C5" s="52" t="str"/>
      <x:c r="D5" s="52" t="str">
        <x:v>kg CO2e/kWh</x:v>
      </x:c>
      <x:c r="E5" s="52" t="str">
        <x:v>No</x:v>
      </x:c>
      <x:c r="F5" s="15" t="str">
        <x:v>S32</x:v>
      </x:c>
      <x:c r="G5" s="24" t="str">
        <x:v>Not validated in this economic benchmark; enter boundary-consistent LCA factor before use.</x:v>
      </x:c>
    </x:row>
    <x:row r="6">
      <x:c r="A6" s="23" t="str">
        <x:v>ENV-002</x:v>
      </x:c>
      <x:c r="B6" s="15" t="str">
        <x:v>Direct process emissions</x:v>
      </x:c>
      <x:c r="C6" s="52" t="str"/>
      <x:c r="D6" s="52" t="str">
        <x:v>kg CO2e/h</x:v>
      </x:c>
      <x:c r="E6" s="52" t="str">
        <x:v>No</x:v>
      </x:c>
      <x:c r="F6" s="15" t="str">
        <x:v>S32</x:v>
      </x:c>
      <x:c r="G6" s="24" t="str">
        <x:v>Not used in current validation.</x:v>
      </x:c>
    </x:row>
    <x:row r="7">
      <x:c r="A7" s="56" t="str">
        <x:v>ENV-003</x:v>
      </x:c>
      <x:c r="B7" s="27" t="str">
        <x:v>Reference carbon intensity</x:v>
      </x:c>
      <x:c r="C7" s="57" t="str"/>
      <x:c r="D7" s="57" t="str">
        <x:v>kg CO2e/kg H2</x:v>
      </x:c>
      <x:c r="E7" s="57" t="str">
        <x:v>No</x:v>
      </x:c>
      <x:c r="F7" s="27" t="str">
        <x:v>S32</x:v>
      </x:c>
      <x:c r="G7" s="28" t="str">
        <x:v>Keep disabled unless using a separate validated LCA benchmark.</x:v>
      </x:c>
    </x:row>
    <x:row r="8">
      <x:c r="A8" t="str">
        <x:v>ENV-CP</x:v>
      </x:c>
      <x:c r="B8" t="str">
        <x:v>Carbon price</x:v>
      </x:c>
      <x:c r="C8" s="112" t="n">
        <x:v>0</x:v>
      </x:c>
      <x:c r="D8" s="112" t="str">
        <x:v>USD/tCO2e</x:v>
      </x:c>
      <x:c r="E8" s="112" t="str">
        <x:v>No</x:v>
      </x:c>
      <x:c r="F8" t="str">
        <x:v>S29</x:v>
      </x:c>
      <x:c r="G8" t="str">
        <x:v>Optional V0.6 screening input. If activated, annual carbon value and PV carbon benefit are reported separately from base NPV.</x:v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24" hidden="0" customWidth="1"/>
    <x:col min="5" max="5" width="14" hidden="0" customWidth="1"/>
    <x:col min="6" max="6" width="28" hidden="0" customWidth="1"/>
    <x:col min="7" max="7" width="30" hidden="0" customWidth="1"/>
    <x:col min="8" max="8" width="56" hidden="0" customWidth="1"/>
  </x:cols>
  <x:sheetData>
    <x:row r="1" ht="28" customHeight="1">
      <x:c r="A1" s="20" t="str">
        <x:v>External Validation Targets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15"/>
      <x:c r="C2" s="15"/>
      <x:c r="D2" s="15"/>
      <x:c r="E2" s="15"/>
      <x:c r="F2" s="15"/>
      <x:c r="G2" s="15"/>
      <x:c r="H2" s="24"/>
    </x:row>
    <x:row r="3">
      <x:c r="A3" s="23"/>
      <x:c r="B3" s="15"/>
      <x:c r="C3" s="15"/>
      <x:c r="D3" s="15"/>
      <x:c r="E3" s="15"/>
      <x:c r="F3" s="15"/>
      <x:c r="G3" s="15"/>
      <x:c r="H3" s="24"/>
    </x:row>
    <x:row r="4">
      <x:c r="A4" s="54" t="str">
        <x:v>Active?</x:v>
      </x:c>
      <x:c r="B4" s="41" t="str">
        <x:v>Metric</x:v>
      </x:c>
      <x:c r="C4" s="41" t="str">
        <x:v>Published Value</x:v>
      </x:c>
      <x:c r="D4" s="41" t="str">
        <x:v>Unit</x:v>
      </x:c>
      <x:c r="E4" s="41" t="str">
        <x:v>Source ID</x:v>
      </x:c>
      <x:c r="F4" s="41" t="str">
        <x:v>Location in Source</x:v>
      </x:c>
      <x:c r="G4" s="41" t="str">
        <x:v>Acceptance Rule</x:v>
      </x:c>
      <x:c r="H4" s="55" t="str">
        <x:v>Notes</x:v>
      </x:c>
    </x:row>
    <x:row r="5">
      <x:c r="A5" s="23" t="str">
        <x:v>Yes</x:v>
      </x:c>
      <x:c r="B5" s="15" t="str">
        <x:v>H2 design production</x:v>
      </x:c>
      <x:c r="C5" s="52" t="n">
        <x:v>50000</x:v>
      </x:c>
      <x:c r="D5" s="15" t="str">
        <x:v>kg/day</x:v>
      </x:c>
      <x:c r="E5" s="15" t="str">
        <x:v>S32</x:v>
      </x:c>
      <x:c r="F5" s="15" t="str">
        <x:v>Table 2, p.5</x:v>
      </x:c>
      <x:c r="G5" s="15" t="str">
        <x:v>Input match</x:v>
      </x:c>
      <x:c r="H5" s="24" t="str"/>
    </x:row>
    <x:row r="6">
      <x:c r="A6" s="23" t="str">
        <x:v>Yes</x:v>
      </x:c>
      <x:c r="B6" s="15" t="str">
        <x:v>Total H2 production cost</x:v>
      </x:c>
      <x:c r="C6" s="52" t="n">
        <x:v>4.83</x:v>
      </x:c>
      <x:c r="D6" s="15" t="str">
        <x:v>2016 USD/kg H2</x:v>
      </x:c>
      <x:c r="E6" s="15" t="str">
        <x:v>S32</x:v>
      </x:c>
      <x:c r="F6" s="15" t="str">
        <x:v>Table 3, p.6</x:v>
      </x:c>
      <x:c r="G6" s="15" t="str">
        <x:v>Screening: &lt;=5%; detailed goal &lt;=1%</x:v>
      </x:c>
      <x:c r="H6" s="24" t="str">
        <x:v>Primary Case 2 target.</x:v>
      </x:c>
    </x:row>
    <x:row r="7">
      <x:c r="A7" s="23" t="str">
        <x:v>Yes</x:v>
      </x:c>
      <x:c r="B7" s="15" t="str">
        <x:v>Capital cost contribution</x:v>
      </x:c>
      <x:c r="C7" s="52" t="n">
        <x:v>0.4</x:v>
      </x:c>
      <x:c r="D7" s="15" t="str">
        <x:v>2016 USD/kg H2</x:v>
      </x:c>
      <x:c r="E7" s="15" t="str">
        <x:v>S32</x:v>
      </x:c>
      <x:c r="F7" s="15" t="str">
        <x:v>Table 3, p.6</x:v>
      </x:c>
      <x:c r="G7" s="15" t="str">
        <x:v>Compare contribution</x:v>
      </x:c>
      <x:c r="H7" s="24" t="str"/>
    </x:row>
    <x:row r="8">
      <x:c r="A8" s="23" t="str">
        <x:v>Yes</x:v>
      </x:c>
      <x:c r="B8" s="15" t="str">
        <x:v>Fixed O&amp;M contribution</x:v>
      </x:c>
      <x:c r="C8" s="52" t="n">
        <x:v>0.24</x:v>
      </x:c>
      <x:c r="D8" s="15" t="str">
        <x:v>2016 USD/kg H2</x:v>
      </x:c>
      <x:c r="E8" s="15" t="str">
        <x:v>S32</x:v>
      </x:c>
      <x:c r="F8" s="15" t="str">
        <x:v>Table 3, p.6</x:v>
      </x:c>
      <x:c r="G8" s="15" t="str">
        <x:v>Compare contribution</x:v>
      </x:c>
      <x:c r="H8" s="24" t="str"/>
    </x:row>
    <x:row r="9">
      <x:c r="A9" s="23" t="str">
        <x:v>Yes</x:v>
      </x:c>
      <x:c r="B9" s="15" t="str">
        <x:v>Electricity contribution</x:v>
      </x:c>
      <x:c r="C9" s="52" t="n">
        <x:v>4.18</x:v>
      </x:c>
      <x:c r="D9" s="15" t="str">
        <x:v>2016 USD/kg H2</x:v>
      </x:c>
      <x:c r="E9" s="15" t="str">
        <x:v>S32</x:v>
      </x:c>
      <x:c r="F9" s="15" t="str">
        <x:v>Table 3, p.6</x:v>
      </x:c>
      <x:c r="G9" s="15" t="str">
        <x:v>Compare contribution</x:v>
      </x:c>
      <x:c r="H9" s="24" t="str"/>
    </x:row>
    <x:row r="10">
      <x:c r="A10" s="23" t="str">
        <x:v>Yes</x:v>
      </x:c>
      <x:c r="B10" s="15" t="str">
        <x:v>Electricity price sensitivity — low</x:v>
      </x:c>
      <x:c r="C10" s="52" t="n">
        <x:v>1.45</x:v>
      </x:c>
      <x:c r="D10" s="15" t="str">
        <x:v>2016 USD/kg H2</x:v>
      </x:c>
      <x:c r="E10" s="15" t="str">
        <x:v>S32</x:v>
      </x:c>
      <x:c r="F10" s="15" t="str">
        <x:v>Table 4, p.8</x:v>
      </x:c>
      <x:c r="G10" s="15" t="str">
        <x:v>Compare sensitivity</x:v>
      </x:c>
      <x:c r="H10" s="24" t="str">
        <x:v>At 0.015 USD/kWh.</x:v>
      </x:c>
    </x:row>
    <x:row r="11">
      <x:c r="A11" s="56" t="str">
        <x:v>Yes</x:v>
      </x:c>
      <x:c r="B11" s="27" t="str">
        <x:v>Electricity price sensitivity — high</x:v>
      </x:c>
      <x:c r="C11" s="57" t="n">
        <x:v>7.5</x:v>
      </x:c>
      <x:c r="D11" s="27" t="str">
        <x:v>2016 USD/kg H2</x:v>
      </x:c>
      <x:c r="E11" s="27" t="str">
        <x:v>S32</x:v>
      </x:c>
      <x:c r="F11" s="27" t="str">
        <x:v>Table 4, p.8</x:v>
      </x:c>
      <x:c r="G11" s="27" t="str">
        <x:v>Compare sensitivity</x:v>
      </x:c>
      <x:c r="H11" s="28" t="str">
        <x:v>At 0.12 USD/kWh.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8" hidden="0" customWidth="1"/>
    <x:col min="4" max="4" width="90" hidden="0" customWidth="1"/>
    <x:col min="5" max="5" width="58" hidden="0" customWidth="1"/>
  </x:cols>
  <x:sheetData>
    <x:row r="1" ht="28" customHeight="1">
      <x:c r="A1" s="20" t="str">
        <x:v>Source Library</x:v>
      </x:c>
      <x:c r="B1" s="21"/>
      <x:c r="C1" s="21"/>
      <x:c r="D1" s="21"/>
      <x:c r="E1" s="22"/>
    </x:row>
    <x:row r="2">
      <x:c r="A2" s="23"/>
      <x:c r="B2" s="15"/>
      <x:c r="C2" s="15"/>
      <x:c r="D2" s="15"/>
      <x:c r="E2" s="24"/>
    </x:row>
    <x:row r="3">
      <x:c r="A3" s="23"/>
      <x:c r="B3" s="15"/>
      <x:c r="C3" s="15"/>
      <x:c r="D3" s="15"/>
      <x:c r="E3" s="24"/>
    </x:row>
    <x:row r="4">
      <x:c r="A4" s="54" t="str">
        <x:v>Source ID</x:v>
      </x:c>
      <x:c r="B4" s="41" t="str">
        <x:v>Source Name</x:v>
      </x:c>
      <x:c r="C4" s="41" t="str">
        <x:v>Category</x:v>
      </x:c>
      <x:c r="D4" s="41" t="str">
        <x:v>URL</x:v>
      </x:c>
      <x:c r="E4" s="55" t="str">
        <x:v>Notes</x:v>
      </x:c>
    </x:row>
    <x:row r="5">
      <x:c r="A5" s="23" t="str">
        <x:v>S01</x:v>
      </x:c>
      <x:c r="B5" s="15" t="str">
        <x:v>Vendor / project quotation</x:v>
      </x:c>
      <x:c r="C5" s="15" t="str">
        <x:v>Primary cost source</x:v>
      </x:c>
      <x:c r="D5" s="15" t="str"/>
      <x:c r="E5" s="24" t="str">
        <x:v>Replace with project-specific vendor quote when available.</x:v>
      </x:c>
    </x:row>
    <x:row r="6">
      <x:c r="A6" s="23" t="str">
        <x:v>S02</x:v>
      </x:c>
      <x:c r="B6" s="15" t="str">
        <x:v>DOE H2A Production Analysis</x:v>
      </x:c>
      <x:c r="C6" s="15" t="str">
        <x:v>Methodology</x:v>
      </x:c>
      <x:c r="D6" s="15" t="str">
        <x:v>https://www.hydrogen.energy.gov/program-areas/systems-analysis/h2a-analysis/h2a-production</x:v>
      </x:c>
      <x:c r="E6" s="24" t="str">
        <x:v>Discounted cash flow / hydrogen production TEA reference.</x:v>
      </x:c>
    </x:row>
    <x:row r="7">
      <x:c r="A7" s="23" t="str">
        <x:v>S03</x:v>
      </x:c>
      <x:c r="B7" s="15" t="str">
        <x:v>NETL QGESS Capital Cost Scaling Methodology Rev. 4</x:v>
      </x:c>
      <x:c r="C7" s="15" t="str">
        <x:v>Methodology</x:v>
      </x:c>
      <x:c r="D7" s="15" t="str">
        <x:v>https://netl.doe.gov/projects/files/QualityGuidelinesforEnergySystemStudiesCapitalCostScalingMethodologyRevision4Report_110719.pdf</x:v>
      </x:c>
      <x:c r="E7" s="24" t="str">
        <x:v>Equipment scaling equation reference.</x:v>
      </x:c>
    </x:row>
    <x:row r="8">
      <x:c r="A8" s="23" t="str">
        <x:v>S04</x:v>
      </x:c>
      <x:c r="B8" s="15" t="str">
        <x:v>NREL process design and economics studies</x:v>
      </x:c>
      <x:c r="C8" s="15" t="str">
        <x:v>Methodology</x:v>
      </x:c>
      <x:c r="D8" s="15" t="str">
        <x:v>https://www.nrel.gov/docs/fy11osti/51400.pdf</x:v>
      </x:c>
      <x:c r="E8" s="24" t="str">
        <x:v>Installation-factor and minimum-selling-price practice.</x:v>
      </x:c>
    </x:row>
    <x:row r="9">
      <x:c r="A9" s="23" t="str">
        <x:v>S29</x:v>
      </x:c>
      <x:c r="B9" s="15" t="str">
        <x:v>Demo / user assumption</x:v>
      </x:c>
      <x:c r="C9" s="15" t="str">
        <x:v>Placeholder</x:v>
      </x:c>
      <x:c r="D9" s="15" t="str"/>
      <x:c r="E9" s="24" t="str">
        <x:v>Synthetic placeholder. Replace before real use.</x:v>
      </x:c>
    </x:row>
    <x:row r="10">
      <x:c r="A10" s="23" t="str">
        <x:v>S30</x:v>
      </x:c>
      <x:c r="B10" s="15" t="str">
        <x:v>NREL/DOE H2A V2 current central biomass gasification</x:v>
      </x:c>
      <x:c r="C10" s="15" t="str">
        <x:v>Validation</x:v>
      </x:c>
      <x:c r="D10" s="15" t="str">
        <x:v>https://www.nrel.gov/docs/fy09osti/46267.pdf</x:v>
      </x:c>
      <x:c r="E10" s="24" t="str">
        <x:v>Published biomass-to-H2 inputs, costs, output and sensitivity.</x:v>
      </x:c>
    </x:row>
    <x:row r="11">
      <x:c r="A11" s="23" t="str">
        <x:v>S31</x:v>
      </x:c>
      <x:c r="B11" s="15" t="str">
        <x:v>NREL biomass-to-hydrogen detailed design and economics</x:v>
      </x:c>
      <x:c r="C11" s="15" t="str">
        <x:v>Validation</x:v>
      </x:c>
      <x:c r="D11" s="15" t="str">
        <x:v>https://www.nrel.gov/docs/fy05osti/37408.pdf</x:v>
      </x:c>
      <x:c r="E11" s="24" t="str">
        <x:v>Detailed equipment and capital-cost benchmark.</x:v>
      </x:c>
    </x:row>
    <x:row r="12">
      <x:c r="A12" s="23" t="str">
        <x:v>S32</x:v>
      </x:c>
      <x:c r="B12" s="15" t="str">
        <x:v>DOE Program Record 19009 — Current Central PEM Electrolysis</x:v>
      </x:c>
      <x:c r="C12" s="15" t="str">
        <x:v>Validation</x:v>
      </x:c>
      <x:c r="D12" s="15" t="str">
        <x:v>https://www.hydrogen.energy.gov/docs/hydrogenprogramlibraries/pdfs/19009_h2_production_cost_pem_electrolysis_2019.pdf</x:v>
      </x:c>
      <x:c r="E12" s="24" t="str">
        <x:v>Published PEM inputs, output cost and sensitivity.</x:v>
      </x:c>
    </x:row>
    <x:row r="13">
      <x:c r="A13" s="56" t="str">
        <x:v>S33</x:v>
      </x:c>
      <x:c r="B13" s="27" t="str">
        <x:v>H2A Production Model Version 3.2018 User Guide</x:v>
      </x:c>
      <x:c r="C13" s="27" t="str">
        <x:v>Methodology</x:v>
      </x:c>
      <x:c r="D13" s="27" t="str">
        <x:v>https://www.nlr.gov/docs/libraries/hydrogen/h2a-production-model-version-3-2018-user-guide-draftc38961ab-c8f7-4346-90b8-1bcb5f09dc6b.pdf</x:v>
      </x:c>
      <x:c r="E13" s="28" t="str">
        <x:v>PEM finance defaults: equity/debt, tax, WC, construction, terminal assumptions.</x:v>
      </x:c>
    </x:row>
    <x:row r="14">
      <x:c r="A14" t="str">
        <x:v>S34</x:v>
      </x:c>
      <x:c r="B14" t="str">
        <x:v>V0.6 software-defined uncertainty and R&amp;D-priority methodology</x:v>
      </x:c>
      <x:c r="C14" t="str">
        <x:v>Software implementation</x:v>
      </x:c>
      <x:c r="D14" t="str"/>
      <x:c r="E14" t="str">
        <x:v>Monte Carlo distributions, robustness classes and R&amp;D Priority Score are transparent software-defined decision-support methods, not industry-standard thresholds.</x:v>
      </x:c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8" hidden="0" customWidth="1"/>
  </x:cols>
  <x:sheetData>
    <x:row r="1" ht="28" customHeight="1">
      <x:c r="A1" s="20" t="str">
        <x:v>Dropdown Lists</x:v>
      </x:c>
      <x:c r="B1" s="21"/>
      <x:c r="C1" s="21"/>
      <x:c r="D1" s="21"/>
      <x:c r="E1" s="21"/>
      <x:c r="F1" s="22"/>
    </x:row>
    <x:row r="2">
      <x:c r="A2" s="23"/>
      <x:c r="B2" s="15"/>
      <x:c r="C2" s="15"/>
      <x:c r="D2" s="15"/>
      <x:c r="E2" s="15"/>
      <x:c r="F2" s="24"/>
    </x:row>
    <x:row r="3">
      <x:c r="A3" s="54" t="str">
        <x:v>Active</x:v>
      </x:c>
      <x:c r="B3" s="41" t="str">
        <x:v>Role</x:v>
      </x:c>
      <x:c r="C3" s="41" t="str">
        <x:v>Flow Unit</x:v>
      </x:c>
      <x:c r="D3" s="41" t="str">
        <x:v>Price Unit</x:v>
      </x:c>
      <x:c r="E3" s="41" t="str">
        <x:v>OPEX Basis</x:v>
      </x:c>
      <x:c r="F3" s="55" t="str">
        <x:v>Finance Mode</x:v>
      </x:c>
    </x:row>
    <x:row r="4">
      <x:c r="A4" s="23" t="str">
        <x:v>Yes</x:v>
      </x:c>
      <x:c r="B4" s="15" t="str">
        <x:v>Feedstock</x:v>
      </x:c>
      <x:c r="C4" s="15" t="str">
        <x:v>kg/h</x:v>
      </x:c>
      <x:c r="D4" s="15" t="str">
        <x:v>USD/kg</x:v>
      </x:c>
      <x:c r="E4" s="15" t="str">
        <x:v>Direct annual</x:v>
      </x:c>
      <x:c r="F4" s="24" t="str">
        <x:v>Simple</x:v>
      </x:c>
    </x:row>
    <x:row r="5">
      <x:c r="A5" s="23" t="str">
        <x:v>No</x:v>
      </x:c>
      <x:c r="B5" s="15" t="str">
        <x:v>Process material</x:v>
      </x:c>
      <x:c r="C5" s="15" t="str">
        <x:v>ton/h</x:v>
      </x:c>
      <x:c r="D5" s="15" t="str">
        <x:v>USD/ton</x:v>
      </x:c>
      <x:c r="E5" s="15" t="str">
        <x:v>Fraction of installed</x:v>
      </x:c>
      <x:c r="F5" s="24" t="str">
        <x:v>Detailed</x:v>
      </x:c>
    </x:row>
    <x:row r="6">
      <x:c r="A6" s="23" t="str"/>
      <x:c r="B6" s="15" t="str">
        <x:v>Primary</x:v>
      </x:c>
      <x:c r="C6" s="15" t="str">
        <x:v>kg/year</x:v>
      </x:c>
      <x:c r="D6" s="15" t="str">
        <x:v>USD/Nm3</x:v>
      </x:c>
      <x:c r="E6" s="15" t="str">
        <x:v>Fraction of FCI</x:v>
      </x:c>
      <x:c r="F6" s="24" t="str">
        <x:v>H2A V2 Detailed</x:v>
      </x:c>
    </x:row>
    <x:row r="7">
      <x:c r="A7" s="23" t="str"/>
      <x:c r="B7" s="15" t="str">
        <x:v>Byproduct</x:v>
      </x:c>
      <x:c r="C7" s="15" t="str">
        <x:v>Nm3/h</x:v>
      </x:c>
      <x:c r="D7" s="15" t="str">
        <x:v>USD/kWh</x:v>
      </x:c>
      <x:c r="E7" s="15" t="str">
        <x:v>Fraction of labor</x:v>
      </x:c>
      <x:c r="F7" s="24" t="str">
        <x:v>H2A V3.2018 Detailed</x:v>
      </x:c>
    </x:row>
    <x:row r="8">
      <x:c r="A8" s="23" t="str"/>
      <x:c r="B8" s="15" t="str">
        <x:v>Waste</x:v>
      </x:c>
      <x:c r="C8" s="15" t="str">
        <x:v>kWh/h</x:v>
      </x:c>
      <x:c r="D8" s="15" t="str">
        <x:v>USD/GJ</x:v>
      </x:c>
      <x:c r="E8" s="15" t="str"/>
      <x:c r="F8" s="24" t="str"/>
    </x:row>
    <x:row r="9">
      <x:c r="A9" s="56" t="str"/>
      <x:c r="B9" s="27" t="str"/>
      <x:c r="C9" s="27" t="str">
        <x:v>m3/h</x:v>
      </x:c>
      <x:c r="D9" s="27" t="str">
        <x:v>USD/m3</x:v>
      </x:c>
      <x:c r="E9" s="27" t="str"/>
      <x:c r="F9" s="28" t="str"/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2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28" customHeight="1">
      <x:c r="A1" s="99" t="str">
        <x:v>Universal TEA V0.6 — Analysis and Output Catalogue</x:v>
      </x:c>
      <x:c r="B1" s="100"/>
      <x:c r="C1" s="100"/>
      <x:c r="D1" s="100"/>
      <x:c r="E1" s="100"/>
      <x:c r="F1" s="100"/>
      <x:c r="G1" s="101"/>
    </x:row>
    <x:row r="2">
      <x:c r="A2" s="102" t="str">
        <x:v>This sheet explicitly lists what the Python engine will calculate and where each result will appear. Outputs marked custom/software-defined are decision-support indices rather than published industry standards.</x:v>
      </x:c>
      <x:c r="B2" s="103"/>
      <x:c r="C2" s="103"/>
      <x:c r="D2" s="103"/>
      <x:c r="E2" s="103"/>
      <x:c r="F2" s="103"/>
      <x:c r="G2" s="104"/>
    </x:row>
    <x:row r="3">
      <x:c r="A3" s="102"/>
      <x:c r="B3" s="103"/>
      <x:c r="C3" s="103"/>
      <x:c r="D3" s="103"/>
      <x:c r="E3" s="103"/>
      <x:c r="F3" s="103"/>
      <x:c r="G3" s="104"/>
    </x:row>
    <x:row r="4">
      <x:c r="A4" s="105" t="str">
        <x:v>Module</x:v>
      </x:c>
      <x:c r="B4" s="106" t="str">
        <x:v>Output / KPI</x:v>
      </x:c>
      <x:c r="C4" s="106" t="str">
        <x:v>Unit</x:v>
      </x:c>
      <x:c r="D4" s="106" t="str">
        <x:v>Results Sheet</x:v>
      </x:c>
      <x:c r="E4" s="106" t="str">
        <x:v>Delivery</x:v>
      </x:c>
      <x:c r="F4" s="106" t="str">
        <x:v>Version Status</x:v>
      </x:c>
      <x:c r="G4" s="107" t="str">
        <x:v>Interpretation</x:v>
      </x:c>
    </x:row>
    <x:row r="5">
      <x:c r="A5" s="102" t="str">
        <x:v>Core TEA</x:v>
      </x:c>
      <x:c r="B5" s="103" t="str">
        <x:v>Annual product</x:v>
      </x:c>
      <x:c r="C5" s="103" t="str">
        <x:v>product unit/year</x:v>
      </x:c>
      <x:c r="D5" s="103" t="str">
        <x:v>Summary</x:v>
      </x:c>
      <x:c r="E5" s="103" t="str">
        <x:v>Results Excel</x:v>
      </x:c>
      <x:c r="F5" s="103" t="str">
        <x:v>Existing</x:v>
      </x:c>
      <x:c r="G5" s="104" t="str">
        <x:v>Annualized primary product output.</x:v>
      </x:c>
    </x:row>
    <x:row r="6">
      <x:c r="A6" s="102" t="str">
        <x:v>Core TEA</x:v>
      </x:c>
      <x:c r="B6" s="103" t="str">
        <x:v>Purchased equipment / base capital</x:v>
      </x:c>
      <x:c r="C6" s="103" t="str">
        <x:v>currency</x:v>
      </x:c>
      <x:c r="D6" s="103" t="str">
        <x:v>Summary / Equipment_Costs</x:v>
      </x:c>
      <x:c r="E6" s="103" t="str">
        <x:v>Results Excel</x:v>
      </x:c>
      <x:c r="F6" s="103" t="str">
        <x:v>Existing</x:v>
      </x:c>
      <x:c r="G6" s="104" t="str">
        <x:v>Reference-cost scaling result.</x:v>
      </x:c>
    </x:row>
    <x:row r="7">
      <x:c r="A7" s="102" t="str">
        <x:v>Core TEA</x:v>
      </x:c>
      <x:c r="B7" s="103" t="str">
        <x:v>Installed equipment / cost blocks</x:v>
      </x:c>
      <x:c r="C7" s="103" t="str">
        <x:v>currency</x:v>
      </x:c>
      <x:c r="D7" s="103" t="str">
        <x:v>Summary / Equipment_Costs</x:v>
      </x:c>
      <x:c r="E7" s="103" t="str">
        <x:v>Results Excel</x:v>
      </x:c>
      <x:c r="F7" s="103" t="str">
        <x:v>Existing</x:v>
      </x:c>
      <x:c r="G7" s="104" t="str">
        <x:v>Installation factors or direct published cost blocks.</x:v>
      </x:c>
    </x:row>
    <x:row r="8">
      <x:c r="A8" s="102" t="str">
        <x:v>Core TEA</x:v>
      </x:c>
      <x:c r="B8" s="103" t="str">
        <x:v>FCI / TCI</x:v>
      </x:c>
      <x:c r="C8" s="103" t="str">
        <x:v>currency</x:v>
      </x:c>
      <x:c r="D8" s="103" t="str">
        <x:v>Summary</x:v>
      </x:c>
      <x:c r="E8" s="103" t="str">
        <x:v>Results Excel</x:v>
      </x:c>
      <x:c r="F8" s="103" t="str">
        <x:v>Existing</x:v>
      </x:c>
      <x:c r="G8" s="104" t="str">
        <x:v>Capital-investment metrics.</x:v>
      </x:c>
    </x:row>
    <x:row r="9">
      <x:c r="A9" s="102" t="str">
        <x:v>Core TEA</x:v>
      </x:c>
      <x:c r="B9" s="103" t="str">
        <x:v>Annual OPEX and category breakdown</x:v>
      </x:c>
      <x:c r="C9" s="103" t="str">
        <x:v>currency/year</x:v>
      </x:c>
      <x:c r="D9" s="103" t="str">
        <x:v>Summary / OPEX_Breakdown</x:v>
      </x:c>
      <x:c r="E9" s="103" t="str">
        <x:v>Results Excel + figure</x:v>
      </x:c>
      <x:c r="F9" s="103" t="str">
        <x:v>Existing</x:v>
      </x:c>
      <x:c r="G9" s="104" t="str">
        <x:v>Materials, utilities, waste, variable and fixed OPEX.</x:v>
      </x:c>
    </x:row>
    <x:row r="10">
      <x:c r="A10" s="102" t="str">
        <x:v>Core TEA</x:v>
      </x:c>
      <x:c r="B10" s="103" t="str">
        <x:v>Annual revenue</x:v>
      </x:c>
      <x:c r="C10" s="103" t="str">
        <x:v>currency/year</x:v>
      </x:c>
      <x:c r="D10" s="103" t="str">
        <x:v>Summary</x:v>
      </x:c>
      <x:c r="E10" s="103" t="str">
        <x:v>Results Excel</x:v>
      </x:c>
      <x:c r="F10" s="103" t="str">
        <x:v>Existing</x:v>
      </x:c>
      <x:c r="G10" s="104" t="str">
        <x:v>Primary-product revenue at entered selling price.</x:v>
      </x:c>
    </x:row>
    <x:row r="11">
      <x:c r="A11" s="102" t="str">
        <x:v>Financial</x:v>
      </x:c>
      <x:c r="B11" s="103" t="str">
        <x:v>NPV</x:v>
      </x:c>
      <x:c r="C11" s="103" t="str">
        <x:v>currency</x:v>
      </x:c>
      <x:c r="D11" s="103" t="str">
        <x:v>Summary / Cash_Flow</x:v>
      </x:c>
      <x:c r="E11" s="103" t="str">
        <x:v>Results Excel + figure</x:v>
      </x:c>
      <x:c r="F11" s="103" t="str">
        <x:v>Existing</x:v>
      </x:c>
      <x:c r="G11" s="104" t="str">
        <x:v>Discounted project value.</x:v>
      </x:c>
    </x:row>
    <x:row r="12">
      <x:c r="A12" s="102" t="str">
        <x:v>Financial</x:v>
      </x:c>
      <x:c r="B12" s="103" t="str">
        <x:v>IRR</x:v>
      </x:c>
      <x:c r="C12" s="103" t="str">
        <x:v>fraction</x:v>
      </x:c>
      <x:c r="D12" s="103" t="str">
        <x:v>Summary</x:v>
      </x:c>
      <x:c r="E12" s="103" t="str">
        <x:v>Results Excel</x:v>
      </x:c>
      <x:c r="F12" s="103" t="str">
        <x:v>Existing</x:v>
      </x:c>
      <x:c r="G12" s="104" t="str">
        <x:v>Project internal rate of return.</x:v>
      </x:c>
    </x:row>
    <x:row r="13">
      <x:c r="A13" s="102" t="str">
        <x:v>Financial</x:v>
      </x:c>
      <x:c r="B13" s="103" t="str">
        <x:v>Payback period</x:v>
      </x:c>
      <x:c r="C13" s="103" t="str">
        <x:v>years</x:v>
      </x:c>
      <x:c r="D13" s="103" t="str">
        <x:v>Summary</x:v>
      </x:c>
      <x:c r="E13" s="103" t="str">
        <x:v>Results Excel</x:v>
      </x:c>
      <x:c r="F13" s="103" t="str">
        <x:v>Existing</x:v>
      </x:c>
      <x:c r="G13" s="104" t="str">
        <x:v>Interpolated cumulative-cash-flow payback.</x:v>
      </x:c>
    </x:row>
    <x:row r="14">
      <x:c r="A14" s="102" t="str">
        <x:v>Financial</x:v>
      </x:c>
      <x:c r="B14" s="103" t="str">
        <x:v>MSP / LCOX</x:v>
      </x:c>
      <x:c r="C14" s="103" t="str">
        <x:v>currency/product unit</x:v>
      </x:c>
      <x:c r="D14" s="103" t="str">
        <x:v>Summary</x:v>
      </x:c>
      <x:c r="E14" s="103" t="str">
        <x:v>Results Excel</x:v>
      </x:c>
      <x:c r="F14" s="103" t="str">
        <x:v>Existing</x:v>
      </x:c>
      <x:c r="G14" s="104" t="str">
        <x:v>Selling price that gives NPV = 0 at target return.</x:v>
      </x:c>
    </x:row>
    <x:row r="15">
      <x:c r="A15" s="102" t="str">
        <x:v>Financial</x:v>
      </x:c>
      <x:c r="B15" s="103" t="str">
        <x:v>Benefit-cost ratio</x:v>
      </x:c>
      <x:c r="C15" s="103" t="str">
        <x:v>ratio</x:v>
      </x:c>
      <x:c r="D15" s="103" t="str">
        <x:v>Summary</x:v>
      </x:c>
      <x:c r="E15" s="103" t="str">
        <x:v>Results Excel</x:v>
      </x:c>
      <x:c r="F15" s="103" t="str">
        <x:v>Existing</x:v>
      </x:c>
      <x:c r="G15" s="104" t="str">
        <x:v>PV revenue / PV cost.</x:v>
      </x:c>
    </x:row>
    <x:row r="16">
      <x:c r="A16" s="102" t="str">
        <x:v>Sensitivity</x:v>
      </x:c>
      <x:c r="B16" s="103" t="str">
        <x:v>Low/high NPV and MSP</x:v>
      </x:c>
      <x:c r="C16" s="103" t="str">
        <x:v>currency; currency/unit</x:v>
      </x:c>
      <x:c r="D16" s="103" t="str">
        <x:v>Sensitivity</x:v>
      </x:c>
      <x:c r="E16" s="103" t="str">
        <x:v>Results Excel</x:v>
      </x:c>
      <x:c r="F16" s="103" t="str">
        <x:v>Enhanced V0.6</x:v>
      </x:c>
      <x:c r="G16" s="104" t="str">
        <x:v>One-at-a-time low/high screening.</x:v>
      </x:c>
    </x:row>
    <x:row r="17">
      <x:c r="A17" s="102" t="str">
        <x:v>Sensitivity</x:v>
      </x:c>
      <x:c r="B17" s="103" t="str">
        <x:v>Impact score, rank and priority</x:v>
      </x:c>
      <x:c r="C17" s="103" t="str">
        <x:v>0–1; rank</x:v>
      </x:c>
      <x:c r="D17" s="103" t="str">
        <x:v>Sensitivity</x:v>
      </x:c>
      <x:c r="E17" s="103" t="str">
        <x:v>Results Excel + figure</x:v>
      </x:c>
      <x:c r="F17" s="103" t="str">
        <x:v>Enhanced V0.6</x:v>
      </x:c>
      <x:c r="G17" s="104" t="str">
        <x:v>Deterministic importance ranking; priority thresholds are software-defined.</x:v>
      </x:c>
    </x:row>
    <x:row r="18">
      <x:c r="A18" s="102" t="str">
        <x:v>Scenario</x:v>
      </x:c>
      <x:c r="B18" s="103" t="str">
        <x:v>Scenario NPV / IRR / MSP / OPEX / revenue</x:v>
      </x:c>
      <x:c r="C18" s="103" t="str">
        <x:v>mixed</x:v>
      </x:c>
      <x:c r="D18" s="103" t="str">
        <x:v>Scenarios</x:v>
      </x:c>
      <x:c r="E18" s="103" t="str">
        <x:v>Results Excel + figure</x:v>
      </x:c>
      <x:c r="F18" s="103" t="str">
        <x:v>Existing</x:v>
      </x:c>
      <x:c r="G18" s="104" t="str">
        <x:v>Design, realistic, optimistic, pessimistic or user-defined scenarios.</x:v>
      </x:c>
    </x:row>
    <x:row r="19">
      <x:c r="A19" s="102" t="str">
        <x:v>Break-even</x:v>
      </x:c>
      <x:c r="B19" s="103" t="str">
        <x:v>NPV = 0 parameter factor and margin</x:v>
      </x:c>
      <x:c r="C19" s="103" t="str">
        <x:v>factor; %</x:v>
      </x:c>
      <x:c r="D19" s="103" t="str">
        <x:v>Break_Even</x:v>
      </x:c>
      <x:c r="E19" s="103" t="str">
        <x:v>Results Excel + figure</x:v>
      </x:c>
      <x:c r="F19" s="103" t="str">
        <x:v>Enhanced V0.6</x:v>
      </x:c>
      <x:c r="G19" s="104" t="str">
        <x:v>Distance from base assumption to economic break-even.</x:v>
      </x:c>
    </x:row>
    <x:row r="20">
      <x:c r="A20" s="102" t="str">
        <x:v>Scale</x:v>
      </x:c>
      <x:c r="B20" s="103" t="str">
        <x:v>TCI / NPV / IRR / MSP by plant scale</x:v>
      </x:c>
      <x:c r="C20" s="103" t="str">
        <x:v>mixed</x:v>
      </x:c>
      <x:c r="D20" s="103" t="str">
        <x:v>Scale_Analysis</x:v>
      </x:c>
      <x:c r="E20" s="103" t="str">
        <x:v>Results Excel + figure</x:v>
      </x:c>
      <x:c r="F20" s="103" t="str">
        <x:v>Enhanced V0.6</x:v>
      </x:c>
      <x:c r="G20" s="104" t="str">
        <x:v>Economies-of-scale screening.</x:v>
      </x:c>
    </x:row>
    <x:row r="21">
      <x:c r="A21" s="102" t="str">
        <x:v>Uncertainty</x:v>
      </x:c>
      <x:c r="B21" s="103" t="str">
        <x:v>Monte Carlo P10 / P50 / P90 NPV</x:v>
      </x:c>
      <x:c r="C21" s="103" t="str">
        <x:v>currency</x:v>
      </x:c>
      <x:c r="D21" s="103" t="str">
        <x:v>Uncertainty_Summary</x:v>
      </x:c>
      <x:c r="E21" s="103" t="str">
        <x:v>Results Excel + figure</x:v>
      </x:c>
      <x:c r="F21" s="103" t="str">
        <x:v>NEW V0.6</x:v>
      </x:c>
      <x:c r="G21" s="104" t="str">
        <x:v>Independent probabilistic sampling from user-defined distributions.</x:v>
      </x:c>
    </x:row>
    <x:row r="22">
      <x:c r="A22" s="102" t="str">
        <x:v>Uncertainty</x:v>
      </x:c>
      <x:c r="B22" s="103" t="str">
        <x:v>Monte Carlo P10 / P50 / P90 MSP</x:v>
      </x:c>
      <x:c r="C22" s="103" t="str">
        <x:v>currency/product unit</x:v>
      </x:c>
      <x:c r="D22" s="103" t="str">
        <x:v>Uncertainty_Summary</x:v>
      </x:c>
      <x:c r="E22" s="103" t="str">
        <x:v>Results Excel + figure</x:v>
      </x:c>
      <x:c r="F22" s="103" t="str">
        <x:v>NEW V0.6</x:v>
      </x:c>
      <x:c r="G22" s="104" t="str">
        <x:v>Probabilistic minimum-selling-price range.</x:v>
      </x:c>
    </x:row>
    <x:row r="23">
      <x:c r="A23" s="102" t="str">
        <x:v>Uncertainty</x:v>
      </x:c>
      <x:c r="B23" s="103" t="str">
        <x:v>P(NPV &gt; 0)</x:v>
      </x:c>
      <x:c r="C23" s="103" t="str">
        <x:v>probability</x:v>
      </x:c>
      <x:c r="D23" s="103" t="str">
        <x:v>Uncertainty_Summary</x:v>
      </x:c>
      <x:c r="E23" s="103" t="str">
        <x:v>Results Excel</x:v>
      </x:c>
      <x:c r="F23" s="103" t="str">
        <x:v>NEW V0.6</x:v>
      </x:c>
      <x:c r="G23" s="104" t="str">
        <x:v>Probability of positive NPV.</x:v>
      </x:c>
    </x:row>
    <x:row r="24">
      <x:c r="A24" s="102" t="str">
        <x:v>Uncertainty</x:v>
      </x:c>
      <x:c r="B24" s="103" t="str">
        <x:v>P(IRR ≥ target return)</x:v>
      </x:c>
      <x:c r="C24" s="103" t="str">
        <x:v>probability</x:v>
      </x:c>
      <x:c r="D24" s="103" t="str">
        <x:v>Uncertainty_Summary</x:v>
      </x:c>
      <x:c r="E24" s="103" t="str">
        <x:v>Results Excel</x:v>
      </x:c>
      <x:c r="F24" s="103" t="str">
        <x:v>NEW V0.6</x:v>
      </x:c>
      <x:c r="G24" s="104" t="str">
        <x:v>Probability of meeting the hurdle rate.</x:v>
      </x:c>
    </x:row>
    <x:row r="25">
      <x:c r="A25" s="102" t="str">
        <x:v>Uncertainty</x:v>
      </x:c>
      <x:c r="B25" s="103" t="str">
        <x:v>P(MSP ≤ entered selling price)</x:v>
      </x:c>
      <x:c r="C25" s="103" t="str">
        <x:v>probability</x:v>
      </x:c>
      <x:c r="D25" s="103" t="str">
        <x:v>Uncertainty_Summary</x:v>
      </x:c>
      <x:c r="E25" s="103" t="str">
        <x:v>Results Excel</x:v>
      </x:c>
      <x:c r="F25" s="103" t="str">
        <x:v>NEW V0.6</x:v>
      </x:c>
      <x:c r="G25" s="104" t="str">
        <x:v>Probability that required price is no higher than market/entered price.</x:v>
      </x:c>
    </x:row>
    <x:row r="26">
      <x:c r="A26" s="102" t="str">
        <x:v>Uncertainty</x:v>
      </x:c>
      <x:c r="B26" s="103" t="str">
        <x:v>Monte Carlo driver correlations</x:v>
      </x:c>
      <x:c r="C26" s="103" t="str">
        <x:v>Spearman rho</x:v>
      </x:c>
      <x:c r="D26" s="103" t="str">
        <x:v>Uncertainty_Drivers</x:v>
      </x:c>
      <x:c r="E26" s="103" t="str">
        <x:v>Results Excel</x:v>
      </x:c>
      <x:c r="F26" s="103" t="str">
        <x:v>NEW V0.6</x:v>
      </x:c>
      <x:c r="G26" s="104" t="str">
        <x:v>Rank correlation of sampled factors with NPV and MSP.</x:v>
      </x:c>
    </x:row>
    <x:row r="27">
      <x:c r="A27" s="102" t="str">
        <x:v>R&amp;D priority</x:v>
      </x:c>
      <x:c r="B27" s="103" t="str">
        <x:v>Risk Priority Score</x:v>
      </x:c>
      <x:c r="C27" s="103" t="str">
        <x:v>0–1 custom index</x:v>
      </x:c>
      <x:c r="D27" s="103" t="str">
        <x:v>R&amp;D_Priority</x:v>
      </x:c>
      <x:c r="E27" s="103" t="str">
        <x:v>Results Excel</x:v>
      </x:c>
      <x:c r="F27" s="103" t="str">
        <x:v>NEW V0.6</x:v>
      </x:c>
      <x:c r="G27" s="104" t="str">
        <x:v>Normalized sensitivity impact × normalized uncertainty width.</x:v>
      </x:c>
    </x:row>
    <x:row r="28">
      <x:c r="A28" s="102" t="str">
        <x:v>R&amp;D priority</x:v>
      </x:c>
      <x:c r="B28" s="103" t="str">
        <x:v>R&amp;D Priority Score and rank</x:v>
      </x:c>
      <x:c r="C28" s="103" t="str">
        <x:v>0–1 custom index; rank</x:v>
      </x:c>
      <x:c r="D28" s="103" t="str">
        <x:v>R&amp;D_Priority</x:v>
      </x:c>
      <x:c r="E28" s="103" t="str">
        <x:v>Results Excel + figure</x:v>
      </x:c>
      <x:c r="F28" s="103" t="str">
        <x:v>NEW V0.6</x:v>
      </x:c>
      <x:c r="G28" s="104" t="str">
        <x:v>Risk Priority × user-defined controllability/R&amp;D weight.</x:v>
      </x:c>
    </x:row>
    <x:row r="29">
      <x:c r="A29" s="102" t="str">
        <x:v>R&amp;D priority</x:v>
      </x:c>
      <x:c r="B29" s="103" t="str">
        <x:v>Recommended action</x:v>
      </x:c>
      <x:c r="C29" s="103" t="str">
        <x:v>text</x:v>
      </x:c>
      <x:c r="D29" s="103" t="str">
        <x:v>R&amp;D_Priority</x:v>
      </x:c>
      <x:c r="E29" s="103" t="str">
        <x:v>Results Excel</x:v>
      </x:c>
      <x:c r="F29" s="103" t="str">
        <x:v>NEW V0.6</x:v>
      </x:c>
      <x:c r="G29" s="104" t="str">
        <x:v>Distinguishes research-controllable vs external/market risks.</x:v>
      </x:c>
    </x:row>
    <x:row r="30">
      <x:c r="A30" s="102" t="str">
        <x:v>Environmental</x:v>
      </x:c>
      <x:c r="B30" s="103" t="str">
        <x:v>Screening emissions and carbon intensity</x:v>
      </x:c>
      <x:c r="C30" s="103" t="str">
        <x:v>kg CO2e/year; kg CO2e/unit</x:v>
      </x:c>
      <x:c r="D30" s="103" t="str">
        <x:v>Environmental</x:v>
      </x:c>
      <x:c r="E30" s="103" t="str">
        <x:v>Results Excel + figure</x:v>
      </x:c>
      <x:c r="F30" s="103" t="str">
        <x:v>Enhanced V0.6</x:v>
      </x:c>
      <x:c r="G30" s="104" t="str">
        <x:v>Screening layer only; not a full LCA.</x:v>
      </x:c>
    </x:row>
    <x:row r="31">
      <x:c r="A31" s="102" t="str">
        <x:v>Environmental</x:v>
      </x:c>
      <x:c r="B31" s="103" t="str">
        <x:v>Carbon saving and resource efficiency</x:v>
      </x:c>
      <x:c r="C31" s="103" t="str">
        <x:v>%; fraction</x:v>
      </x:c>
      <x:c r="D31" s="103" t="str">
        <x:v>Environmental</x:v>
      </x:c>
      <x:c r="E31" s="103" t="str">
        <x:v>Results Excel</x:v>
      </x:c>
      <x:c r="F31" s="103" t="str">
        <x:v>Existing</x:v>
      </x:c>
      <x:c r="G31" s="104" t="str">
        <x:v>Compared with user-entered reference values.</x:v>
      </x:c>
    </x:row>
    <x:row r="32">
      <x:c r="A32" s="102" t="str">
        <x:v>Environmental</x:v>
      </x:c>
      <x:c r="B32" s="103" t="str">
        <x:v>Annual carbon value and PV carbon benefit</x:v>
      </x:c>
      <x:c r="C32" s="103" t="str">
        <x:v>currency/year; currency</x:v>
      </x:c>
      <x:c r="D32" s="103" t="str">
        <x:v>Environmental</x:v>
      </x:c>
      <x:c r="E32" s="103" t="str">
        <x:v>Results Excel</x:v>
      </x:c>
      <x:c r="F32" s="103" t="str">
        <x:v>NEW V0.6</x:v>
      </x:c>
      <x:c r="G32" s="104" t="str">
        <x:v>Only when an explicit carbon price is enabled.</x:v>
      </x:c>
    </x:row>
    <x:row r="33">
      <x:c r="A33" s="102" t="str">
        <x:v>Environmental</x:v>
      </x:c>
      <x:c r="B33" s="103" t="str">
        <x:v>Carbon-value-adjusted NPV</x:v>
      </x:c>
      <x:c r="C33" s="103" t="str">
        <x:v>currency</x:v>
      </x:c>
      <x:c r="D33" s="103" t="str">
        <x:v>Decision_Summary</x:v>
      </x:c>
      <x:c r="E33" s="103" t="str">
        <x:v>Results Excel</x:v>
      </x:c>
      <x:c r="F33" s="103" t="str">
        <x:v>NEW V0.6</x:v>
      </x:c>
      <x:c r="G33" s="104" t="str">
        <x:v>Separate screening metric to avoid silently mixing carbon value into base NPV.</x:v>
      </x:c>
    </x:row>
    <x:row r="34">
      <x:c r="A34" s="102" t="str">
        <x:v>Validation</x:v>
      </x:c>
      <x:c r="B34" s="103" t="str">
        <x:v>Published vs calculated deviation and status</x:v>
      </x:c>
      <x:c r="C34" s="103" t="str">
        <x:v>%</x:v>
      </x:c>
      <x:c r="D34" s="103" t="str">
        <x:v>Validation_Comparison</x:v>
      </x:c>
      <x:c r="E34" s="103" t="str">
        <x:v>Results Excel + figure</x:v>
      </x:c>
      <x:c r="F34" s="103" t="str">
        <x:v>Existing</x:v>
      </x:c>
      <x:c r="G34" s="104" t="str">
        <x:v>External benchmark comparison where targets are active.</x:v>
      </x:c>
    </x:row>
    <x:row r="35">
      <x:c r="A35" s="102" t="str">
        <x:v>Decision</x:v>
      </x:c>
      <x:c r="B35" s="103" t="str">
        <x:v>Scenario viability rate</x:v>
      </x:c>
      <x:c r="C35" s="103" t="str">
        <x:v>probability</x:v>
      </x:c>
      <x:c r="D35" s="103" t="str">
        <x:v>Decision_Summary</x:v>
      </x:c>
      <x:c r="E35" s="103" t="str">
        <x:v>Results Excel</x:v>
      </x:c>
      <x:c r="F35" s="103" t="str">
        <x:v>NEW V0.6</x:v>
      </x:c>
      <x:c r="G35" s="104" t="str">
        <x:v>Share of tested scenarios that meet the economic viability rule.</x:v>
      </x:c>
    </x:row>
    <x:row r="36">
      <x:c r="A36" s="102" t="str">
        <x:v>Decision</x:v>
      </x:c>
      <x:c r="B36" s="103" t="str">
        <x:v>Economic robustness class</x:v>
      </x:c>
      <x:c r="C36" s="103" t="str">
        <x:v>text</x:v>
      </x:c>
      <x:c r="D36" s="103" t="str">
        <x:v>Decision_Summary</x:v>
      </x:c>
      <x:c r="E36" s="103" t="str">
        <x:v>Results Excel / Word report</x:v>
      </x:c>
      <x:c r="F36" s="103" t="str">
        <x:v>NEW V0.6</x:v>
      </x:c>
      <x:c r="G36" s="104" t="str">
        <x:v>Software-defined class based on base viability, scenarios and Monte Carlo probability.</x:v>
      </x:c>
    </x:row>
    <x:row r="37">
      <x:c r="A37" s="108" t="str">
        <x:v>Decision</x:v>
      </x:c>
      <x:c r="B37" s="109" t="str">
        <x:v>Top sensitivity / risk / R&amp;D priorities</x:v>
      </x:c>
      <x:c r="C37" s="109" t="str">
        <x:v>text</x:v>
      </x:c>
      <x:c r="D37" s="109" t="str">
        <x:v>Decision_Summary</x:v>
      </x:c>
      <x:c r="E37" s="109" t="str">
        <x:v>Results Excel / Word report</x:v>
      </x:c>
      <x:c r="F37" s="109" t="str">
        <x:v>NEW V0.6</x:v>
      </x:c>
      <x:c r="G37" s="110" t="str">
        <x:v>Condensed management and research decision outputs.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0" hidden="0" customWidth="1"/>
    <x:col min="4" max="4" width="14" hidden="0" customWidth="1"/>
    <x:col min="5" max="5" width="26" hidden="0" customWidth="1"/>
    <x:col min="6" max="6" width="64" hidden="0" customWidth="1"/>
  </x:cols>
  <x:sheetData>
    <x:row r="1" ht="28" customHeight="1">
      <x:c r="A1" s="99" t="str">
        <x:v>Monte Carlo / Probabilistic Analysis Settings</x:v>
      </x:c>
      <x:c r="B1" s="100"/>
      <x:c r="C1" s="100"/>
      <x:c r="D1" s="100"/>
      <x:c r="E1" s="100"/>
      <x:c r="F1" s="101"/>
    </x:row>
    <x:row r="2">
      <x:c r="A2" s="102" t="str">
        <x:v>V0.6 samples uncertainty parameters independently. Correlations are not applied in this release. Use evidence-based distributions for research results; the BASE workbook values are illustrative demo assumptions.</x:v>
      </x:c>
      <x:c r="B2" s="103"/>
      <x:c r="C2" s="103"/>
      <x:c r="D2" s="103"/>
      <x:c r="E2" s="103"/>
      <x:c r="F2" s="104"/>
    </x:row>
    <x:row r="3">
      <x:c r="A3" s="102"/>
      <x:c r="B3" s="103"/>
      <x:c r="C3" s="103"/>
      <x:c r="D3" s="103"/>
      <x:c r="E3" s="103"/>
      <x:c r="F3" s="104"/>
    </x:row>
    <x:row r="4">
      <x:c r="A4" s="105" t="str">
        <x:v>Parameter</x:v>
      </x:c>
      <x:c r="B4" s="106" t="str">
        <x:v>Value</x:v>
      </x:c>
      <x:c r="C4" s="106" t="str">
        <x:v>Unit</x:v>
      </x:c>
      <x:c r="D4" s="106" t="str">
        <x:v>Active?</x:v>
      </x:c>
      <x:c r="E4" s="106" t="str">
        <x:v>Basis / Status</x:v>
      </x:c>
      <x:c r="F4" s="107" t="str">
        <x:v>Notes</x:v>
      </x:c>
    </x:row>
    <x:row r="5">
      <x:c r="A5" s="102" t="str">
        <x:v>Uncertainty active</x:v>
      </x:c>
      <x:c r="B5" s="115" t="str">
        <x:v>No</x:v>
      </x:c>
      <x:c r="C5" s="103" t="str">
        <x:v>Yes/No</x:v>
      </x:c>
      <x:c r="D5" s="103" t="str">
        <x:v>Yes</x:v>
      </x:c>
      <x:c r="E5" s="103" t="str">
        <x:v>User setting</x:v>
      </x:c>
      <x:c r="F5" s="104" t="str">
        <x:v>Disable for deterministic-only runs.</x:v>
      </x:c>
    </x:row>
    <x:row r="6">
      <x:c r="A6" s="102" t="str">
        <x:v>Simulation count</x:v>
      </x:c>
      <x:c r="B6" s="115" t="n">
        <x:v>1000</x:v>
      </x:c>
      <x:c r="C6" s="103" t="str">
        <x:v>runs</x:v>
      </x:c>
      <x:c r="D6" s="103" t="str">
        <x:v>Yes</x:v>
      </x:c>
      <x:c r="E6" s="103" t="str">
        <x:v>User setting</x:v>
      </x:c>
      <x:c r="F6" s="104" t="str">
        <x:v>Recommended demo value; increase for final convergence checks.</x:v>
      </x:c>
    </x:row>
    <x:row r="7">
      <x:c r="A7" s="102" t="str">
        <x:v>Random seed</x:v>
      </x:c>
      <x:c r="B7" s="115" t="n">
        <x:v>42</x:v>
      </x:c>
      <x:c r="C7" s="103" t="str">
        <x:v>integer</x:v>
      </x:c>
      <x:c r="D7" s="103" t="str">
        <x:v>Yes</x:v>
      </x:c>
      <x:c r="E7" s="103" t="str">
        <x:v>Reproducibility</x:v>
      </x:c>
      <x:c r="F7" s="104" t="str">
        <x:v>Same seed reproduces the same Monte Carlo sample.</x:v>
      </x:c>
    </x:row>
    <x:row r="8">
      <x:c r="A8" s="102" t="str">
        <x:v>P10 percentile</x:v>
      </x:c>
      <x:c r="B8" s="115" t="n">
        <x:v>10</x:v>
      </x:c>
      <x:c r="C8" s="103" t="str">
        <x:v>%</x:v>
      </x:c>
      <x:c r="D8" s="103" t="str">
        <x:v>Yes</x:v>
      </x:c>
      <x:c r="E8" s="103" t="str">
        <x:v>Reporting</x:v>
      </x:c>
      <x:c r="F8" s="104" t="str">
        <x:v>Downside percentile.</x:v>
      </x:c>
    </x:row>
    <x:row r="9">
      <x:c r="A9" s="102" t="str">
        <x:v>P50 percentile</x:v>
      </x:c>
      <x:c r="B9" s="115" t="n">
        <x:v>50</x:v>
      </x:c>
      <x:c r="C9" s="103" t="str">
        <x:v>%</x:v>
      </x:c>
      <x:c r="D9" s="103" t="str">
        <x:v>Yes</x:v>
      </x:c>
      <x:c r="E9" s="103" t="str">
        <x:v>Reporting</x:v>
      </x:c>
      <x:c r="F9" s="104" t="str">
        <x:v>Median.</x:v>
      </x:c>
    </x:row>
    <x:row r="10">
      <x:c r="A10" s="102" t="str">
        <x:v>P90 percentile</x:v>
      </x:c>
      <x:c r="B10" s="115" t="n">
        <x:v>90</x:v>
      </x:c>
      <x:c r="C10" s="103" t="str">
        <x:v>%</x:v>
      </x:c>
      <x:c r="D10" s="103" t="str">
        <x:v>Yes</x:v>
      </x:c>
      <x:c r="E10" s="103" t="str">
        <x:v>Reporting</x:v>
      </x:c>
      <x:c r="F10" s="104" t="str">
        <x:v>Upside / upper percentile.</x:v>
      </x:c>
    </x:row>
    <x:row r="11">
      <x:c r="A11" s="102" t="str">
        <x:v>Sampling dependence</x:v>
      </x:c>
      <x:c r="B11" s="115" t="str">
        <x:v>Independent</x:v>
      </x:c>
      <x:c r="C11" s="103" t="str">
        <x:v>method</x:v>
      </x:c>
      <x:c r="D11" s="103" t="str">
        <x:v>Yes</x:v>
      </x:c>
      <x:c r="E11" s="103" t="str">
        <x:v>V0.6 scope</x:v>
      </x:c>
      <x:c r="F11" s="104" t="str">
        <x:v>Parameter correlations are not modeled in this version.</x:v>
      </x:c>
    </x:row>
    <x:row r="12">
      <x:c r="A12" s="102" t="str">
        <x:v>Robust viability probability</x:v>
      </x:c>
      <x:c r="B12" s="115" t="n">
        <x:v>0.8</x:v>
      </x:c>
      <x:c r="C12" s="103" t="str">
        <x:v>fraction</x:v>
      </x:c>
      <x:c r="D12" s="103" t="str">
        <x:v>Yes</x:v>
      </x:c>
      <x:c r="E12" s="103" t="str">
        <x:v>Software-defined</x:v>
      </x:c>
      <x:c r="F12" s="104" t="str">
        <x:v>Used only for robustness classification.</x:v>
      </x:c>
    </x:row>
    <x:row r="13">
      <x:c r="A13" s="102" t="str">
        <x:v>Conditional viability probability</x:v>
      </x:c>
      <x:c r="B13" s="115" t="n">
        <x:v>0.5</x:v>
      </x:c>
      <x:c r="C13" s="103" t="str">
        <x:v>fraction</x:v>
      </x:c>
      <x:c r="D13" s="103" t="str">
        <x:v>Yes</x:v>
      </x:c>
      <x:c r="E13" s="103" t="str">
        <x:v>Software-defined</x:v>
      </x:c>
      <x:c r="F13" s="104" t="str">
        <x:v>Used only for robustness classification.</x:v>
      </x:c>
    </x:row>
    <x:row r="14">
      <x:c r="A14" s="102" t="str">
        <x:v>R&amp;D priority high threshold</x:v>
      </x:c>
      <x:c r="B14" s="115" t="n">
        <x:v>0.67</x:v>
      </x:c>
      <x:c r="C14" s="103" t="str">
        <x:v>normalized score</x:v>
      </x:c>
      <x:c r="D14" s="103" t="str">
        <x:v>Yes</x:v>
      </x:c>
      <x:c r="E14" s="103" t="str">
        <x:v>Software-defined</x:v>
      </x:c>
      <x:c r="F14" s="104" t="str">
        <x:v>Classification threshold.</x:v>
      </x:c>
    </x:row>
    <x:row r="15">
      <x:c r="A15" s="108" t="str">
        <x:v>R&amp;D priority medium threshold</x:v>
      </x:c>
      <x:c r="B15" s="116" t="n">
        <x:v>0.33</x:v>
      </x:c>
      <x:c r="C15" s="109" t="str">
        <x:v>normalized score</x:v>
      </x:c>
      <x:c r="D15" s="109" t="str">
        <x:v>Yes</x:v>
      </x:c>
      <x:c r="E15" s="109" t="str">
        <x:v>Software-defined</x:v>
      </x:c>
      <x:c r="F15" s="110" t="str">
        <x:v>Classification threshold.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64" hidden="0" customWidth="1"/>
  </x:cols>
  <x:sheetData>
    <x:row r="1" ht="28" customHeight="1">
      <x:c r="A1" s="99" t="str">
        <x:v>Uncertainty Parameter Distributions and R&amp;D Controllability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</x:row>
    <x:row r="2">
      <x:c r="A2" s="102" t="str">
        <x:v>Factors multiply the corresponding base-case parameter. R&amp;D Weight is a transparent user-defined controllability weight: Research-controllable = 1.0, Mixed = 0.6, External/market = 0.25 in the demo. Replace these assumptions where appropriate.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4"/>
    </x:row>
    <x:row r="3">
      <x:c r="A3" s="102"/>
      <x:c r="B3" s="103"/>
      <x:c r="C3" s="103"/>
      <x:c r="D3" s="103"/>
      <x:c r="E3" s="103"/>
      <x:c r="F3" s="103"/>
      <x:c r="G3" s="103"/>
      <x:c r="H3" s="103"/>
      <x:c r="I3" s="103"/>
      <x:c r="J3" s="103"/>
      <x:c r="K3" s="104"/>
    </x:row>
    <x:row r="4">
      <x:c r="A4" s="105" t="str">
        <x:v>Parameter</x:v>
      </x:c>
      <x:c r="B4" s="106" t="str">
        <x:v>Category</x:v>
      </x:c>
      <x:c r="C4" s="106" t="str">
        <x:v>Distribution</x:v>
      </x:c>
      <x:c r="D4" s="106" t="str">
        <x:v>Low Factor</x:v>
      </x:c>
      <x:c r="E4" s="106" t="str">
        <x:v>Most Likely Factor</x:v>
      </x:c>
      <x:c r="F4" s="106" t="str">
        <x:v>High Factor</x:v>
      </x:c>
      <x:c r="G4" s="106" t="str">
        <x:v>Active?</x:v>
      </x:c>
      <x:c r="H4" s="106" t="str">
        <x:v>Controllability</x:v>
      </x:c>
      <x:c r="I4" s="106" t="str">
        <x:v>R&amp;D Weight</x:v>
      </x:c>
      <x:c r="J4" s="106" t="str">
        <x:v>Source ID</x:v>
      </x:c>
      <x:c r="K4" s="107" t="str">
        <x:v>Notes</x:v>
      </x:c>
    </x:row>
    <x:row r="5">
      <x:c r="A5" s="102" t="str">
        <x:v>Electricity price</x:v>
      </x:c>
      <x:c r="B5" s="103" t="str">
        <x:v>Economic</x:v>
      </x:c>
      <x:c r="C5" s="115" t="str">
        <x:v>Triangular</x:v>
      </x:c>
      <x:c r="D5" s="115" t="n">
        <x:v>0.20408163265306123</x:v>
      </x:c>
      <x:c r="E5" s="115" t="n">
        <x:v>1</x:v>
      </x:c>
      <x:c r="F5" s="115" t="n">
        <x:v>1.6326530612244898</x:v>
      </x:c>
      <x:c r="G5" s="115" t="str">
        <x:v>No</x:v>
      </x:c>
      <x:c r="H5" s="115" t="str">
        <x:v>External</x:v>
      </x:c>
      <x:c r="I5" s="115" t="n">
        <x:v>0.25</x:v>
      </x:c>
      <x:c r="J5" s="103" t="str">
        <x:v>S32</x:v>
      </x:c>
      <x:c r="K5" s="104" t="str">
        <x:v>DOE sensitivity range; not assumed probabilistic by default.</x:v>
      </x:c>
    </x:row>
    <x:row r="6">
      <x:c r="A6" s="102" t="str">
        <x:v>Stack electrical usage</x:v>
      </x:c>
      <x:c r="B6" s="103" t="str">
        <x:v>Technical</x:v>
      </x:c>
      <x:c r="C6" s="115" t="str">
        <x:v>Triangular</x:v>
      </x:c>
      <x:c r="D6" s="115" t="n">
        <x:v>0.7996031746031745</x:v>
      </x:c>
      <x:c r="E6" s="115" t="n">
        <x:v>1</x:v>
      </x:c>
      <x:c r="F6" s="115" t="n">
        <x:v>1.2003968253968254</x:v>
      </x:c>
      <x:c r="G6" s="115" t="str">
        <x:v>No</x:v>
      </x:c>
      <x:c r="H6" s="115" t="str">
        <x:v>Research-controllable</x:v>
      </x:c>
      <x:c r="I6" s="115" t="n">
        <x:v>1</x:v>
      </x:c>
      <x:c r="J6" s="103" t="str">
        <x:v>S32</x:v>
      </x:c>
      <x:c r="K6" s="104" t="str">
        <x:v>DOE sensitivity range only.</x:v>
      </x:c>
    </x:row>
    <x:row r="7">
      <x:c r="A7" s="102" t="str">
        <x:v>Stack cost</x:v>
      </x:c>
      <x:c r="B7" s="103" t="str">
        <x:v>Economic</x:v>
      </x:c>
      <x:c r="C7" s="115" t="str">
        <x:v>Triangular</x:v>
      </x:c>
      <x:c r="D7" s="115" t="n">
        <x:v>0.7690058479532164</x:v>
      </x:c>
      <x:c r="E7" s="115" t="n">
        <x:v>1</x:v>
      </x:c>
      <x:c r="F7" s="115" t="n">
        <x:v>1.6929824561403508</x:v>
      </x:c>
      <x:c r="G7" s="115" t="str">
        <x:v>No</x:v>
      </x:c>
      <x:c r="H7" s="115" t="str">
        <x:v>Mixed</x:v>
      </x:c>
      <x:c r="I7" s="115" t="n">
        <x:v>0.6</x:v>
      </x:c>
      <x:c r="J7" s="103" t="str">
        <x:v>S32</x:v>
      </x:c>
      <x:c r="K7" s="104" t="str">
        <x:v>DOE sensitivity range only.</x:v>
      </x:c>
    </x:row>
    <x:row r="8">
      <x:c r="A8" s="102" t="str">
        <x:v>Stack replacement cost</x:v>
      </x:c>
      <x:c r="B8" s="103" t="str">
        <x:v>Technical/Economic</x:v>
      </x:c>
      <x:c r="C8" s="115" t="str">
        <x:v>Triangular</x:v>
      </x:c>
      <x:c r="D8" s="115" t="n">
        <x:v>0.6666666666666667</x:v>
      </x:c>
      <x:c r="E8" s="115" t="n">
        <x:v>1</x:v>
      </x:c>
      <x:c r="F8" s="115" t="n">
        <x:v>5</x:v>
      </x:c>
      <x:c r="G8" s="115" t="str">
        <x:v>No</x:v>
      </x:c>
      <x:c r="H8" s="115" t="str">
        <x:v>Research-controllable</x:v>
      </x:c>
      <x:c r="I8" s="115" t="n">
        <x:v>1</x:v>
      </x:c>
      <x:c r="J8" s="103" t="str">
        <x:v>S32</x:v>
      </x:c>
      <x:c r="K8" s="104" t="str">
        <x:v>DOE sensitivity range only.</x:v>
      </x:c>
    </x:row>
    <x:row r="9">
      <x:c r="A9" s="102" t="str">
        <x:v>Capacity factor</x:v>
      </x:c>
      <x:c r="B9" s="103" t="str">
        <x:v>Technical</x:v>
      </x:c>
      <x:c r="C9" s="115" t="str">
        <x:v>Triangular</x:v>
      </x:c>
      <x:c r="D9" s="115" t="n">
        <x:v>0.4123711340206186</x:v>
      </x:c>
      <x:c r="E9" s="115" t="n">
        <x:v>1</x:v>
      </x:c>
      <x:c r="F9" s="115" t="n">
        <x:v>1.0103092783505154</x:v>
      </x:c>
      <x:c r="G9" s="115" t="str">
        <x:v>No</x:v>
      </x:c>
      <x:c r="H9" s="115" t="str">
        <x:v>Mixed</x:v>
      </x:c>
      <x:c r="I9" s="115" t="n">
        <x:v>0.6</x:v>
      </x:c>
      <x:c r="J9" s="103" t="str">
        <x:v>S32</x:v>
      </x:c>
      <x:c r="K9" s="104" t="str">
        <x:v>DOE sensitivity range only.</x:v>
      </x:c>
    </x:row>
    <x:row r="10">
      <x:c r="A10" s="108" t="str">
        <x:v>Stack replacement interval</x:v>
      </x:c>
      <x:c r="B10" s="109" t="str">
        <x:v>Technical</x:v>
      </x:c>
      <x:c r="C10" s="116" t="str">
        <x:v>Triangular</x:v>
      </x:c>
      <x:c r="D10" s="116" t="n">
        <x:v>0.42857142857142855</x:v>
      </x:c>
      <x:c r="E10" s="116" t="n">
        <x:v>1</x:v>
      </x:c>
      <x:c r="F10" s="116" t="n">
        <x:v>1.5714285714285714</x:v>
      </x:c>
      <x:c r="G10" s="116" t="str">
        <x:v>No</x:v>
      </x:c>
      <x:c r="H10" s="116" t="str">
        <x:v>Research-controllable</x:v>
      </x:c>
      <x:c r="I10" s="116" t="n">
        <x:v>1</x:v>
      </x:c>
      <x:c r="J10" s="109" t="str">
        <x:v>S32</x:v>
      </x:c>
      <x:c r="K10" s="110" t="str">
        <x:v>DOE sensitivity range only.</x:v>
      </x:c>
    </x:row>
  </x:sheetData>
  <x:mergeCells>
    <x:mergeCell ref="A1:K1"/>
    <x:mergeCell ref="A2:K2"/>
  </x:mergeCells>
  <x:pageMargins left="0.7" right="0.7" top="0.75" bottom="0.75" header="0.3" footer="0.3"/>
</x:worksheet>
</file>